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C:\Users\SECURITY-BREACH\Downloads\"/>
    </mc:Choice>
  </mc:AlternateContent>
  <xr:revisionPtr revIDLastSave="0" documentId="13_ncr:1_{7AE4C6F3-5D24-44C3-BD62-71F53C7C4251}" xr6:coauthVersionLast="47" xr6:coauthVersionMax="47" xr10:uidLastSave="{00000000-0000-0000-0000-000000000000}"/>
  <bookViews>
    <workbookView xWindow="-108" yWindow="612" windowWidth="41496" windowHeight="16776" xr2:uid="{00000000-000D-0000-FFFF-FFFF00000000}"/>
  </bookViews>
  <sheets>
    <sheet name="Setup Instructions" sheetId="1" r:id="rId1"/>
    <sheet name="Template Generator" sheetId="2" r:id="rId2"/>
    <sheet name="Vulnerability Database" sheetId="3" r:id="rId3"/>
    <sheet name="Report Compilation" sheetId="4" r:id="rId4"/>
    <sheet name="Lists" sheetId="5" state="hidden" r:id="rId5"/>
  </sheets>
  <definedNames>
    <definedName name="_xlnm._FilterDatabase" localSheetId="3" hidden="1">'Report Compilation'!$A$1:$J$1</definedName>
    <definedName name="_xlnm._FilterDatabase" localSheetId="2" hidden="1">'Vulnerability Database'!$A$1:$G$51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3" i="2" l="1"/>
  <c r="O3" i="2"/>
  <c r="M3" i="2"/>
  <c r="Q2" i="2"/>
  <c r="O2" i="2"/>
  <c r="M2" i="2"/>
</calcChain>
</file>

<file path=xl/sharedStrings.xml><?xml version="1.0" encoding="utf-8"?>
<sst xmlns="http://schemas.openxmlformats.org/spreadsheetml/2006/main" count="593" uniqueCount="429">
  <si>
    <t>VULNERABILITY REPORT TEMPLATE GENERATOR — SETUP GUIDE</t>
  </si>
  <si>
    <t>QUICK SETUP (One-Time, ~1 Minute)</t>
  </si>
  <si>
    <t>Step 1:  Press Alt + F11 to open the VBA Editor.</t>
  </si>
  <si>
    <t>Step 2:  Go to File → Import File → select the 'VulnGenerator.bas' file.</t>
  </si>
  <si>
    <t>Step 3:  Close the VBA Editor (Alt + Q or click X).</t>
  </si>
  <si>
    <t>Step 4:  Back in Excel, press Alt + F8 → select 'SetupButtons' → click Run.</t>
  </si>
  <si>
    <t>Step 5:  Save the file as .xlsm (File → Save As → Excel Macro-Enabled Workbook).</t>
  </si>
  <si>
    <t>That's it! The SetupButtons macro automatically creates all 5 clickable buttons</t>
  </si>
  <si>
    <t>(GENERATE, COPY TO CLIPBOARD, ADD TO REPORT, RESET, CLEAR ALL FINDINGS)</t>
  </si>
  <si>
    <t>and links them to their respective macros. No manual assignment needed.</t>
  </si>
  <si>
    <t>HOW TO USE</t>
  </si>
  <si>
    <t>1.  Go to the 'Template Generator' sheet.</t>
  </si>
  <si>
    <t>2.  Select a TO Category from the first dropdown (e.g., TO.01 - Injection).</t>
  </si>
  <si>
    <t>3.  Select a Sub-Vulnerability from the second dropdown (e.g., SQL Injection - Error Based).</t>
  </si>
  <si>
    <t>4.  Paste your CVSS Vector string and numeric Score from first.org/cvss calculator.</t>
  </si>
  <si>
    <t>5.  If this is a retest, set 'Retest?' to Yes and enter the Previous Finding ID (e.g., PT0012#VA03).</t>
  </si>
  <si>
    <t>6.  Click GENERATE — all four template sections will populate with pre-written content.</t>
  </si>
  <si>
    <t>7.  Edit the Description, Steps to Reproduce, Resolution, and Evidence sections for your specific finding.</t>
  </si>
  <si>
    <t>8.  Click ADD TO REPORT to send the finding to the Report Compilation sheet.</t>
  </si>
  <si>
    <t>9.  Click RESET to clear everything and start with the next finding.</t>
  </si>
  <si>
    <t>10. Repeat for all findings in your engagement.</t>
  </si>
  <si>
    <t>SHEET OVERVIEW</t>
  </si>
  <si>
    <t>Template Generator — Your main workspace. Select vulns, generate templates, edit, and add to report.</t>
  </si>
  <si>
    <t>Vulnerability Database — All pre-written templates stored here. Fully editable by anyone, no VBA needed.</t>
  </si>
  <si>
    <t>Report Compilation — Findings accumulate here, auto-sorted by CVSS score (Critical → Low).</t>
  </si>
  <si>
    <t>IMPORTANT NOTES</t>
  </si>
  <si>
    <t>• This file works 100% OFFLINE — no data is ever sent over the network.</t>
  </si>
  <si>
    <t>• To add new vulnerabilities: simply add a new row in the Vulnerability Database sheet.</t>
  </si>
  <si>
    <t>• Report Compilation auto-sorts by CVSS Score (highest first) every time a finding is added.</t>
  </si>
  <si>
    <t>• Retest findings are prefixed with 'This is a retest of Previous finding PTXXXX#VAXX.'</t>
  </si>
  <si>
    <t>• New findings are prefixed with 'This is a new finding.'</t>
  </si>
  <si>
    <t>• COPY TO CLIPBOARD formats output in Markdown for easy pasting into reports.</t>
  </si>
  <si>
    <t>• Designed for use within financial institution environments with restricted network policies.</t>
  </si>
  <si>
    <t>VULNERABILITY REPORT TEMPLATE GENERATOR</t>
  </si>
  <si>
    <t>Select vulnerability category and sub-type to generate report-ready templates</t>
  </si>
  <si>
    <t>TO Category:</t>
  </si>
  <si>
    <t>Sub-Vulnerability:</t>
  </si>
  <si>
    <t>CVSS Vector:</t>
  </si>
  <si>
    <t>CVSS Score:</t>
  </si>
  <si>
    <t>Retest?</t>
  </si>
  <si>
    <t>Previous Finding ID:</t>
  </si>
  <si>
    <t>DESCRIPTION</t>
  </si>
  <si>
    <t>STEPS TO REPRODUCE</t>
  </si>
  <si>
    <t>RESOLUTION / REMEDIATION</t>
  </si>
  <si>
    <t>EVIDENCE / POC</t>
  </si>
  <si>
    <t>TO Code</t>
  </si>
  <si>
    <t>Category</t>
  </si>
  <si>
    <t>Sub-Vulnerability</t>
  </si>
  <si>
    <t>Description</t>
  </si>
  <si>
    <t>Steps to Reproduce</t>
  </si>
  <si>
    <t>Resolution</t>
  </si>
  <si>
    <t>Evidence / POC Template</t>
  </si>
  <si>
    <t>CodeCategory</t>
  </si>
  <si>
    <t>TO.01</t>
  </si>
  <si>
    <t>Injection</t>
  </si>
  <si>
    <t>SQL Injection - Error Based</t>
  </si>
  <si>
    <t>During the assessment, the application was found to be vulnerable to Error-Based SQL Injection. The tester identified that user-supplied input is being directly concatenated into SQL queries without proper sanitization or parameterization. By injecting crafted SQL syntax into the affected parameter, the application returned verbose database error messages containing sensitive information such as database version, table structure, and internal query logic.
This vulnerability poses a critical risk to the organization as an attacker could leverage it to extract sensitive financial data, customer personally identifiable information (PII), account credentials, and other confidential records stored in the backend database. In a financial institution context, exploitation of this vulnerability could lead to unauthorized access to customer account details, transaction histories, and internal banking records, potentially resulting in significant financial loss, regulatory non-compliance, and reputational damage.</t>
  </si>
  <si>
    <t>1. Navigate to [APPLICATION_URL] and access the [AFFECTED_FUNCTIONALITY] feature.
2. Identify the [PARAMETER_NAME] parameter in the HTTP request using an intercepting proxy (e.g., Burp Suite).
3. Inject the following payload into the [PARAMETER_NAME] parameter: ' AND 1=CONVERT(int,(SELECT @@version))--
4. Forward the modified request to the server.
5. Observe the application response — the database error message reveals internal database information, confirming the SQL Injection vulnerability.
6. [INSERT ADDITIONAL STEPS SPECIFIC TO YOUR FINDING]</t>
  </si>
  <si>
    <t>It is recommended to implement parameterized queries (prepared statements) for all database interactions to prevent user input from being interpreted as SQL code. Additionally, implement robust input validation using a whitelist approach, enforce the principle of least privilege on database accounts used by the application, and ensure that detailed database error messages are suppressed in production environments. Reference: OWASP SQL Injection Prevention Cheat Sheet (https://cheatsheetseries.owasp.org/cheatsheets/SQL_Injection_Prevention_Cheat_Sheet.html).</t>
  </si>
  <si>
    <t>[Insert screenshot showing the injected payload in the request]
[Insert screenshot showing the database error message in the response]
[Insert screenshot showing sensitive data extracted, if applicable]</t>
  </si>
  <si>
    <t>TO.01 - Injection</t>
  </si>
  <si>
    <t>SQL Injection - Boolean Blind</t>
  </si>
  <si>
    <t>During the assessment, the application was found to be vulnerable to Boolean-Based Blind SQL Injection. The tester observed that by injecting conditional SQL statements into the [PARAMETER_NAME] parameter, the application exhibited distinguishable behavioral differences (e.g., variations in response content, length, or HTTP status codes) depending on whether the injected condition evaluated to true or false.
Although the application does not directly display database error messages, an attacker can systematically extract sensitive information from the database by crafting a series of true/false queries. In a financial application context, this technique can be used to enumerate database contents character by character, potentially exposing customer account details, authentication credentials, transaction records, and other confidential data.</t>
  </si>
  <si>
    <t>1. Navigate to [APPLICATION_URL] and access the [AFFECTED_FUNCTIONALITY] feature.
2. Identify the [PARAMETER_NAME] parameter in the HTTP request.
3. Inject the following true condition payload: ' AND 1=1-- -
4. Observe the application response and note the behavior (e.g., page content, response length).
5. Inject the following false condition payload: ' AND 1=2-- -
6. Compare the response with the true condition — a noticeable difference in behavior confirms Boolean-Based Blind SQL Injection.
7. [INSERT ADDITIONAL STEPS SPECIFIC TO YOUR FINDING]</t>
  </si>
  <si>
    <t>It is recommended to implement parameterized queries (prepared statements) across all database interactions. Apply strict input validation using a whitelist approach, enforce the principle of least privilege for database accounts, and implement Web Application Firewall (WAF) rules as an additional layer of defense. Reference: OWASP SQL Injection Prevention Cheat Sheet.</t>
  </si>
  <si>
    <t>[Insert screenshot showing the true condition request and response]
[Insert screenshot showing the false condition request and response]
[Insert screenshot highlighting the behavioral difference between true/false responses]</t>
  </si>
  <si>
    <t>SQL Injection - Time Based Blind</t>
  </si>
  <si>
    <t>During the assessment, the application was found to be vulnerable to Time-Based Blind SQL Injection. The tester observed that by injecting time-delay SQL functions (such as WAITFOR DELAY, SLEEP, or pg_sleep) into the [PARAMETER_NAME] parameter, the application's response time increased significantly compared to the baseline, confirming that the injected SQL code was being executed by the backend database.
This vulnerability allows an attacker to infer database contents by measuring response times, even when the application provides no visible feedback. In the context of a financial institution, this could be exploited to extract sensitive data including customer PII, account balances, transaction records, and administrative credentials through automated time-based extraction techniques.</t>
  </si>
  <si>
    <t>1. Navigate to [APPLICATION_URL] and access the [AFFECTED_FUNCTIONALITY] feature.
2. Identify the [PARAMETER_NAME] parameter in the HTTP request.
3. Note the baseline response time of the application.
4. Inject the following time-delay payload: '; WAITFOR DELAY '0:0:5'-- - (for MSSQL) or ' AND SLEEP(5)-- - (for MySQL).
5. Observe the application response time — a delay of approximately 5 seconds compared to the baseline confirms Time-Based Blind SQL Injection.
6. [INSERT ADDITIONAL STEPS SPECIFIC TO YOUR FINDING]</t>
  </si>
  <si>
    <t>It is recommended to implement parameterized queries (prepared statements) for all database interactions. Apply strict input validation, enforce the principle of least privilege on database accounts, and consider implementing query execution time limits at the database level to mitigate time-based extraction attacks. Reference: OWASP SQL Injection Prevention Cheat Sheet.</t>
  </si>
  <si>
    <t>[Insert screenshot showing the baseline response time]
[Insert screenshot showing the delayed response time after payload injection]
[Insert screenshot of the injected request in the intercepting proxy]</t>
  </si>
  <si>
    <t>OS Command Injection</t>
  </si>
  <si>
    <t>During the assessment, the application was found to be vulnerable to Operating System (OS) Command Injection. The tester identified that user-supplied input passed through the [PARAMETER_NAME] parameter is being incorporated into system-level commands executed on the server without adequate sanitization or validation. By appending OS command separators (such as |, ;, &amp;, or backticks) followed by arbitrary commands, the tester was able to execute unauthorized commands on the underlying server.
This vulnerability represents a critical risk as it provides an attacker with the ability to execute arbitrary commands on the server with the privileges of the web application process. In a financial institution environment, this could lead to complete server compromise, lateral movement within the internal network, unauthorized access to sensitive financial systems, data exfiltration, and potential disruption of critical banking operations.</t>
  </si>
  <si>
    <t>1. Navigate to [APPLICATION_URL] and access the [AFFECTED_FUNCTIONALITY] feature.
2. Identify the [PARAMETER_NAME] parameter that appears to interact with system-level operations.
3. Inject the following payload into the parameter: | id (or &amp; whoami for Windows).
4. Observe the application response for evidence of command execution (e.g., output of the 'id' or 'whoami' command).
5. If no direct output is visible, attempt an out-of-band detection method using: | nslookup [COLLABORATOR_DOMAIN]
6. [INSERT ADDITIONAL STEPS SPECIFIC TO YOUR FINDING]</t>
  </si>
  <si>
    <t>It is recommended to avoid incorporating user-supplied input into operating system commands wherever possible. If system commands are necessary, implement strict input validation using a whitelist of allowed characters and values, use parameterized APIs or libraries that do not invoke shell commands directly, and apply the principle of least privilege to the application's operating system account. Reference: OWASP OS Command Injection Defense Cheat Sheet.</t>
  </si>
  <si>
    <t>[Insert screenshot showing the injected payload in the request]
[Insert screenshot showing command execution output in the response]
[Insert screenshot of out-of-band callback if applicable]</t>
  </si>
  <si>
    <t>NoSQL Injection</t>
  </si>
  <si>
    <t>During the assessment, the application was found to be vulnerable to NoSQL Injection. The tester identified that user-supplied input is being directly passed into NoSQL database queries (e.g., MongoDB) without proper sanitization, allowing the injection of database-specific operators such as $gt, $ne, or $regex. By crafting malicious input, the tester was able to bypass authentication mechanisms and manipulate query logic.
In a financial institution context, this vulnerability could allow an attacker to bypass login controls, access unauthorized customer accounts, enumerate sensitive data, and potentially modify or delete critical records in the NoSQL database.</t>
  </si>
  <si>
    <t>1. Navigate to [APPLICATION_URL] and access the [AFFECTED_FUNCTIONALITY] (e.g., login page).
2. Intercept the authentication request using an intercepting proxy.
3. Modify the [PARAMETER_NAME] parameter with the following payload: {"$gt":""}
4. Forward the modified request to the server.
5. Observe the application response — successful authentication bypass or altered query behavior confirms the NoSQL Injection vulnerability.
6. [INSERT ADDITIONAL STEPS SPECIFIC TO YOUR FINDING]</t>
  </si>
  <si>
    <t>It is recommended to implement strict input validation and type checking for all user-supplied data before it is used in database queries. Avoid directly constructing database queries from user input, use ODM/ORM libraries that provide built-in query sanitization, and disable server-side JavaScript execution if not required. Reference: OWASP Testing Guide - NoSQL Injection.</t>
  </si>
  <si>
    <t>[Insert screenshot showing the injected payload in the request]
[Insert screenshot showing the authentication bypass or altered response]
[Insert screenshot of the manipulated query behavior]</t>
  </si>
  <si>
    <t>Server-Side Template Injection (SSTI)</t>
  </si>
  <si>
    <t>During the assessment, the application was found to be vulnerable to Server-Side Template Injection (SSTI). The tester identified that user-supplied input is being rendered within a server-side template engine without proper sanitization. By injecting template-specific syntax (e.g., {{7*7}}, ${7*7}), the tester confirmed that the injected expressions were being evaluated on the server, returning computed results.
This vulnerability is critical as it can be escalated from simple expression evaluation to Remote Code Execution (RCE), allowing an attacker to execute arbitrary commands on the server. In a financial institution environment, this could lead to complete system compromise, unauthorized access to backend systems, data exfiltration, and disruption of critical services.</t>
  </si>
  <si>
    <t>1. Navigate to [APPLICATION_URL] and access the [AFFECTED_FUNCTIONALITY] feature.
2. Identify the [PARAMETER_NAME] parameter where user input is reflected in the response.
3. Inject the following detection polyglot: ${{&lt;%[%'"}}%\
4. Observe the application response for error messages indicating template engine processing.
5. Inject a mathematical expression payload specific to the suspected template engine (e.g., {{7*7}} for Jinja2, ${7*7} for FreeMarker).
6. Observe the response — if the computed result (e.g., 49) is returned, SSTI is confirmed.
7. [INSERT ADDITIONAL STEPS SPECIFIC TO YOUR FINDING]</t>
  </si>
  <si>
    <t>It is recommended to avoid allowing user input to be directly rendered within server-side templates. Implement a strict separation between application logic and template content, use template engines in sandboxed mode where available, apply context-aware output encoding, and validate and sanitize all user input before processing. Reference: OWASP Server-Side Template Injection guidance and PortSwigger SSTI research.</t>
  </si>
  <si>
    <t>[Insert screenshot showing the injected template expression in the request]
[Insert screenshot showing the computed result in the response]
[Insert screenshot confirming the template engine type if identified]</t>
  </si>
  <si>
    <t>LDAP Injection</t>
  </si>
  <si>
    <t>During the assessment, the application was found to be vulnerable to LDAP Injection. The tester identified that user-supplied input is being incorporated into LDAP queries without proper sanitization, allowing manipulation of the query logic. By injecting LDAP-specific metacharacters (such as *)(&amp;), the tester was able to alter the intended query behavior, potentially bypassing authentication or extracting directory information.
In a financial institution context, LDAP directories often store employee credentials, organizational structure, group memberships, and access control information. Exploitation of this vulnerability could allow an attacker to bypass authentication, enumerate user accounts, and gain unauthorized access to internal systems.</t>
  </si>
  <si>
    <t>1. Navigate to [APPLICATION_URL] and access the [AFFECTED_FUNCTIONALITY] (e.g., login or search feature).
2. Identify the [PARAMETER_NAME] parameter used in the LDAP query.
3. Inject the following payload into the parameter: *)(&amp;
4. Observe the application response — successful authentication bypass or altered search results confirm the LDAP Injection vulnerability.
5. [INSERT ADDITIONAL STEPS SPECIFIC TO YOUR FINDING]</t>
  </si>
  <si>
    <t>It is recommended to sanitize and escape all user-supplied input before incorporating it into LDAP queries. Use parameterized LDAP query APIs where available, implement strict input validation using a whitelist approach, and apply the principle of least privilege to the LDAP service account used by the application. Reference: OWASP LDAP Injection Prevention.</t>
  </si>
  <si>
    <t>[Insert screenshot showing the injected payload in the request]
[Insert screenshot showing the authentication bypass or altered response]</t>
  </si>
  <si>
    <t>CRLF Injection</t>
  </si>
  <si>
    <t>During the assessment, the application was found to be vulnerable to Carriage Return Line Feed (CRLF) Injection. The tester identified that user-supplied input containing URL-encoded CRLF characters (%0d%0a) is being incorporated into HTTP response headers without proper sanitization. This allows an attacker to inject arbitrary HTTP headers or split the HTTP response.
Exploitation of this vulnerability could enable various attacks including HTTP response splitting, cache poisoning, session fixation, and cross-site scripting (XSS) through injected response bodies. In a financial institution context, this could be leveraged to redirect users to malicious pages, manipulate cached content, or steal session tokens.</t>
  </si>
  <si>
    <t>1. Navigate to [APPLICATION_URL] and identify the [PARAMETER_NAME] parameter that is reflected in the HTTP response headers.
2. Inject the following payload: %0d%0aX-Injected: true
3. Observe the HTTP response headers — the presence of the injected 'X-Injected: true' header confirms CRLF Injection.
4. [INSERT ADDITIONAL STEPS SPECIFIC TO YOUR FINDING]</t>
  </si>
  <si>
    <t>It is recommended to sanitize all user-supplied input by removing or encoding CRLF characters (%0d, %0a, \r, \n) before incorporating them into HTTP response headers. Use framework-level response header APIs that automatically handle encoding, and implement output validation to prevent injection of control characters. Reference: OWASP HTTP Response Splitting guidance.</t>
  </si>
  <si>
    <t>[Insert screenshot showing the injected payload in the request]
[Insert screenshot showing the injected header in the HTTP response]</t>
  </si>
  <si>
    <t>CSV Formula Injection</t>
  </si>
  <si>
    <t>During the assessment, the application was found to be vulnerable to CSV Formula Injection (also known as CSV Injection or Formula Injection). The tester identified that user-supplied input containing spreadsheet formula characters (such as =, +, -, @) is stored and subsequently included in CSV or Excel file exports without proper sanitization. When a user opens the exported file in a spreadsheet application, the injected formulas are executed automatically.
In a financial institution context, this vulnerability could be exploited to execute arbitrary commands on the machine of a user who opens the exported file, potentially leading to data theft, credential harvesting, or malware installation on endpoints within the corporate network.</t>
  </si>
  <si>
    <t>1. Navigate to [APPLICATION_URL] and access the [AFFECTED_FUNCTIONALITY] where user input is accepted.
2. Enter the following payload in the [PARAMETER_NAME] field: =cmd|'/C nslookup [COLLABORATOR_DOMAIN]'!A0
3. Trigger the CSV/Excel export functionality that includes the stored input.
4. Open the exported file in a spreadsheet application (e.g., Microsoft Excel).
5. Observe the execution of the injected formula — an outbound DNS request or command execution confirms the vulnerability.
6. [INSERT ADDITIONAL STEPS SPECIFIC TO YOUR FINDING]</t>
  </si>
  <si>
    <t>It is recommended to sanitize all user-supplied input before including it in CSV or spreadsheet exports. Prefix cell values that start with formula characters (=, +, -, @) with a single quote (') or tab character to prevent formula interpretation. Additionally, consider implementing Content-Disposition headers to force download rather than inline rendering. Reference: OWASP CSV Injection guidance.</t>
  </si>
  <si>
    <t>[Insert screenshot showing the injected payload in the input field]
[Insert screenshot showing the payload present in the exported CSV/Excel file]
[Insert screenshot showing the formula execution upon opening the file]</t>
  </si>
  <si>
    <t>HTML Injection</t>
  </si>
  <si>
    <t>During the assessment, the application was found to be vulnerable to HTML Injection. The tester identified that user-supplied input containing HTML markup is rendered in the application's response without proper encoding or sanitization. This allows an attacker to inject arbitrary HTML content into the web page as viewed by other users.
While HTML Injection may not directly execute JavaScript (unlike XSS), it can be leveraged for phishing attacks by injecting fake login forms, misleading content, or malicious links. In a financial institution context, this could be used to create convincing phishing pages within the legitimate application domain, tricking customers into submitting sensitive information such as credentials, account numbers, or OTPs.</t>
  </si>
  <si>
    <t>1. Navigate to [APPLICATION_URL] and access the [AFFECTED_FUNCTIONALITY] feature.
2. Inject the following HTML payload into the [PARAMETER_NAME] parameter: &lt;h1&gt;&lt;font color=red&gt;INJECTED&lt;/font&gt;&lt;/h1&gt;
3. Observe the application response — the rendered HTML content (e.g., large red text) confirms the HTML Injection vulnerability.
4. [INSERT ADDITIONAL STEPS SPECIFIC TO YOUR FINDING]</t>
  </si>
  <si>
    <t>It is recommended to implement context-aware output encoding for all user-supplied input before rendering it in HTML responses. Use established encoding libraries provided by the application framework, apply a Content Security Policy (CSP) header as an additional layer of defense, and validate input against a whitelist of allowed characters. Reference: OWASP XSS Prevention Cheat Sheet.</t>
  </si>
  <si>
    <t>[Insert screenshot showing the injected HTML payload in the request]
[Insert screenshot showing the rendered HTML content in the application response]</t>
  </si>
  <si>
    <t>TO.02</t>
  </si>
  <si>
    <t>Weak Session Management</t>
  </si>
  <si>
    <t>Session Not Invalidated on Logout</t>
  </si>
  <si>
    <t>During the assessment, the tester identified that the application does not properly invalidate user session tokens upon logout. After performing the logout action, the tester replayed the previously captured session token and was able to regain access to the authenticated session, indicating that the session was still active on the server side.
This vulnerability allows an attacker who has obtained a valid session token (through methods such as session hijacking, XSS, or physical access to the user's device) to maintain unauthorized access even after the legitimate user has logged out. In a financial institution context, this could result in unauthorized access to customer accounts, unauthorized transactions, and compromise of sensitive financial data.</t>
  </si>
  <si>
    <t>1. Log in to the application at [APPLICATION_URL] with valid credentials.
2. Capture the session token (e.g., from the Cookie header) using an intercepting proxy.
3. Perform the logout action within the application.
4. Replay the previously captured session token in a new HTTP request to an authenticated endpoint.
5. Observe the application response — successful access to the authenticated functionality confirms that the session was not invalidated upon logout.
6. [INSERT ADDITIONAL STEPS SPECIFIC TO YOUR FINDING]</t>
  </si>
  <si>
    <t>It is recommended to ensure that all session tokens are fully invalidated on the server side upon user logout. The session should be destroyed in the server's session store, and any associated cookies should be cleared with expired timestamps. Additionally, implement absolute session timeouts and idle session timeouts as defense-in-depth measures. Reference: OWASP Session Management Cheat Sheet.</t>
  </si>
  <si>
    <t>[Insert screenshot showing the captured session token before logout]
[Insert screenshot showing the successful logout action]
[Insert screenshot showing successful access using the replayed session token after logout]</t>
  </si>
  <si>
    <t>TO.02 - Weak Session Management</t>
  </si>
  <si>
    <t>Session Fixation</t>
  </si>
  <si>
    <t>During the assessment, the application was found to be vulnerable to Session Fixation. The tester observed that the session identifier issued before authentication remains unchanged after successful login. This means an attacker can set a known session token (e.g., via a crafted URL or injected cookie) and wait for the victim to authenticate, at which point the attacker can use the same session token to access the victim's authenticated session.
In a financial institution context, this vulnerability could be exploited to hijack customer sessions after they log in, granting the attacker full access to the victim's banking functionality, account details, and transaction capabilities.</t>
  </si>
  <si>
    <t>1. Access the application at [APPLICATION_URL] and note the session token assigned before login.
2. Log in with valid credentials.
3. Compare the session token after successful authentication with the token from Step 1.
4. If the session token remains the same, the application is vulnerable to Session Fixation.
5. [INSERT ADDITIONAL STEPS SPECIFIC TO YOUR FINDING]</t>
  </si>
  <si>
    <t>It is recommended to regenerate the session identifier upon every successful authentication event. The old session should be invalidated, and a new session token should be issued after login. Additionally, implement session token binding to client attributes (e.g., IP address or User-Agent) as an additional defense measure. Reference: OWASP Session Management Cheat Sheet.</t>
  </si>
  <si>
    <t>[Insert screenshot showing the session token before authentication]
[Insert screenshot showing the same session token persisting after authentication]</t>
  </si>
  <si>
    <t>Concurrent Sessions Allowed</t>
  </si>
  <si>
    <t>During the assessment, the tester identified that the application allows multiple concurrent active sessions for the same user account. By logging in from two different browsers or devices simultaneously, both sessions remained active without any notification or termination of the previous session.
In a financial institution context, failure to enforce single-session policies means that if an attacker compromises a user's credentials, they can maintain a parallel session even while the legitimate user is actively using the application, enabling unauthorized access to sensitive financial operations without the user's knowledge.</t>
  </si>
  <si>
    <t>1. Log in to the application at [APPLICATION_URL] using Browser A with valid credentials.
2. Open Browser B (or an incognito/private window) and log in to the same application with the same credentials.
3. Return to Browser A and verify that the session is still active.
4. Both sessions being active simultaneously confirms that concurrent sessions are allowed.
5. [INSERT ADDITIONAL STEPS SPECIFIC TO YOUR FINDING]</t>
  </si>
  <si>
    <t>It is recommended to implement a single active session policy per user account. Upon a new login, the previous session should be invalidated, or the user should be notified and asked to confirm. Additionally, maintain a session registry on the server side to track and manage active sessions per user. Reference: OWASP Session Management Cheat Sheet.</t>
  </si>
  <si>
    <t>[Insert screenshot showing the active session in Browser A]
[Insert screenshot showing the simultaneous active session in Browser B]</t>
  </si>
  <si>
    <t>Session Token in URL</t>
  </si>
  <si>
    <t>During the assessment, the tester identified that the application exposes session tokens in the URL (e.g., as query parameters or path components). This practice significantly increases the risk of session hijacking as URLs are commonly logged in browser history, server logs, proxy logs, and Referer headers sent to external sites.
In a financial institution context, session token exposure through URLs could allow unauthorized access to customer sessions through log analysis, shoulder surfing, or Referer header leakage to third-party analytics services.</t>
  </si>
  <si>
    <t>1. Log in to the application at [APPLICATION_URL] with valid credentials.
2. Observe the URL in the browser address bar during authenticated navigation.
3. Identify the session token present in the URL (e.g., ?sessionid=ABC123 or /session/ABC123).
4. Check server access logs and browser history for the exposed session token.
5. [INSERT ADDITIONAL STEPS SPECIFIC TO YOUR FINDING]</t>
  </si>
  <si>
    <t>It is recommended to transmit session tokens exclusively through HTTP cookies with the Secure, HttpOnly, and SameSite attributes set. Avoid passing session identifiers in URL parameters, hidden form fields, or path components. Implement URL rewriting to remove any session tokens from URLs before logging. Reference: OWASP Session Management Cheat Sheet.</t>
  </si>
  <si>
    <t>[Insert screenshot showing the session token visible in the URL]
[Insert screenshot showing the session token in browser history or server logs if applicable]</t>
  </si>
  <si>
    <t>Idle Timeout Not Enforced</t>
  </si>
  <si>
    <t>During the assessment, the tester identified that the application does not enforce idle session timeout. After leaving the authenticated session idle for an extended period (30+ minutes), the session remained active and the tester was able to continue using authenticated functionality without re-authentication.
In a financial institution context, the absence of idle session timeout poses a significant risk, particularly on shared workstations or in scenarios where a user leaves their session unattended. An unauthorized individual could gain access to the active banking session and perform sensitive operations.</t>
  </si>
  <si>
    <t>1. Log in to the application at [APPLICATION_URL] with valid credentials.
2. Note the current time and leave the session idle without any interaction.
3. After 30+ minutes of inactivity, attempt to access an authenticated functionality.
4. If the application allows access without re-authentication, the idle timeout is not enforced.
5. [INSERT ADDITIONAL STEPS SPECIFIC TO YOUR FINDING]</t>
  </si>
  <si>
    <t>It is recommended to implement idle session timeout that automatically terminates sessions after a defined period of inactivity. For financial applications, an idle timeout of 5-15 minutes is recommended based on risk assessment. Display a timeout warning before session expiry, and require re-authentication to resume activity. Reference: OWASP Session Management Cheat Sheet.</t>
  </si>
  <si>
    <t>[Insert screenshot showing the session active before idle period]
[Insert screenshot showing the session still active after 30+ minutes of inactivity]</t>
  </si>
  <si>
    <t>TO.03</t>
  </si>
  <si>
    <t>Broken Authentication</t>
  </si>
  <si>
    <t>Default Credentials</t>
  </si>
  <si>
    <t>During the assessment, the tester identified that the application accepts default or commonly known credentials for authentication. The tester was able to successfully log in using well-known username and password combinations (e.g., admin:admin, root:root, test:test) that are typically set during initial deployment and were not changed or disabled in the production environment.
In a financial institution context, the presence of default credentials provides an attacker with immediate authenticated access to the application, potentially with elevated privileges. This could lead to unauthorized access to customer data, administrative functions, configuration settings, and other sensitive operations.</t>
  </si>
  <si>
    <t>1. Navigate to the application login page at [APPLICATION_URL].
2. Enter the following default credentials: Username: [DEFAULT_USERNAME], Password: [DEFAULT_PASSWORD].
3. Submit the login form.
4. Observe the application response — successful authentication with default credentials confirms the vulnerability.
5. [INSERT ADDITIONAL STEPS SPECIFIC TO YOUR FINDING]</t>
  </si>
  <si>
    <t>It is recommended to enforce mandatory password changes upon first login for all default accounts. Remove or disable all default, test, and sample accounts from production environments. Implement a strong password policy that prevents the use of common or easily guessable passwords. Conduct regular access reviews to identify and remove unauthorized accounts. Reference: OWASP Authentication Cheat Sheet.</t>
  </si>
  <si>
    <t>[Insert screenshot showing the login page with default credentials entered]
[Insert screenshot showing successful authentication with default credentials]</t>
  </si>
  <si>
    <t>TO.03 - Broken Authentication</t>
  </si>
  <si>
    <t>JWT Authentication Bypass</t>
  </si>
  <si>
    <t>During the assessment, the tester identified a vulnerability in the application's JSON Web Token (JWT) implementation that allows authentication bypass. The tester was able to manipulate the JWT token (e.g., by changing the algorithm to 'none', using a weak signing secret, or exploiting algorithm confusion) to forge valid tokens with elevated privileges without possessing the legitimate signing key.
In a financial institution context, JWT authentication bypass could allow an attacker to impersonate any user including administrators, access any customer's account, and perform unauthorized transactions or administrative operations without valid credentials.</t>
  </si>
  <si>
    <t>1. Log in to the application at [APPLICATION_URL] and capture the JWT token from the Authorization header or cookie.
2. Decode the JWT token (e.g., using jwt.io or a base64 decoder).
3. [For alg:none] Modify the JWT header to set "alg":"none", alter the payload claims as desired, and remove the signature portion.
4. [For weak secret] Attempt to sign the JWT with common weak secrets (e.g., 'secret', 'password', 'key').
5. Send the modified JWT token in a request to an authenticated endpoint.
6. Observe the application response — successful access confirms the JWT authentication bypass.
7. [INSERT ADDITIONAL STEPS SPECIFIC TO YOUR FINDING]</t>
  </si>
  <si>
    <t>It is recommended to enforce strict algorithm validation on the server side and reject tokens with 'none' algorithm. Use strong, randomly generated signing secrets of sufficient length (256+ bits). Implement algorithm whitelisting in the JWT verification logic. Validate all JWT claims including expiration (exp), issuer (iss), and audience (aud). Consider using asymmetric signing algorithms (RS256) for enhanced security. Reference: OWASP JWT Security Cheat Sheet.</t>
  </si>
  <si>
    <t>[Insert screenshot showing the original JWT token decoded]
[Insert screenshot showing the modified/forged JWT token]
[Insert screenshot showing successful access with the forged token]</t>
  </si>
  <si>
    <t>Brute Force - No Account Lockout</t>
  </si>
  <si>
    <t>During the assessment, the tester identified that the application does not implement an account lockout mechanism or rate limiting on the authentication endpoint. The tester was able to submit a large number of login attempts (50+) with incorrect credentials for the same user account without any lockout, CAPTCHA challenge, or throttling being enforced.
In a financial institution context, the absence of account lockout or rate limiting allows an attacker to perform unlimited brute force or credential stuffing attacks against user accounts, potentially gaining unauthorized access to customer banking sessions and sensitive financial data.</t>
  </si>
  <si>
    <t>1. Navigate to the login page at [APPLICATION_URL].
2. Configure an automated tool (e.g., Burp Suite Intruder) to send multiple login requests with incorrect passwords for a known username.
3. Send 50+ login attempts in rapid succession.
4. Observe the application behavior — no account lockout, CAPTCHA, or rate limiting being enforced confirms the vulnerability.
5. [INSERT ADDITIONAL STEPS SPECIFIC TO YOUR FINDING]</t>
  </si>
  <si>
    <t>It is recommended to implement a progressive account lockout mechanism that temporarily locks the account after a defined number of failed login attempts (e.g., 5 attempts). Implement rate limiting on the authentication endpoint, deploy CAPTCHA after multiple failed attempts, and consider implementing multi-factor authentication (MFA) as an additional defense layer. Reference: OWASP Authentication Cheat Sheet.</t>
  </si>
  <si>
    <t>[Insert screenshot showing the Intruder/automated tool configuration]
[Insert screenshot showing multiple successful requests without lockout]
[Insert screenshot showing no CAPTCHA or rate limiting response]</t>
  </si>
  <si>
    <t>MFA Bypass</t>
  </si>
  <si>
    <t>During the assessment, the tester identified that the application's Multi-Factor Authentication (MFA) implementation can be bypassed. The tester was able to circumvent the MFA step through techniques such as direct URL navigation to the post-authentication page, response manipulation, OTP code reuse, or OTP brute force, thereby gaining access to authenticated functionality without completing the second factor of authentication.
In a financial institution context, MFA bypass critically undermines the security of customer accounts, as MFA is a key control relied upon to protect against unauthorized access. Exploitation could allow an attacker with stolen credentials to fully compromise customer accounts and perform unauthorized financial transactions.</t>
  </si>
  <si>
    <t>1. Log in to the application at [APPLICATION_URL] with valid credentials to reach the MFA/OTP verification step.
2. [For Skip Step] Instead of entering the OTP, directly navigate to the post-authentication URL (e.g., /dashboard).
3. [For Response Tampering] Intercept the MFA verification response and change the status from false to true.
4. [For Code Reuse] Enter a previously used valid OTP code.
5. Observe the application response — successful access to authenticated functionality without completing MFA confirms the bypass.
6. [INSERT ADDITIONAL STEPS SPECIFIC TO YOUR FINDING]</t>
  </si>
  <si>
    <t>It is recommended to enforce MFA verification on the server side before granting access to any authenticated functionality. Implement server-side session state validation to ensure the MFA step cannot be skipped, invalidate OTP codes after single use, implement rate limiting on OTP verification attempts, and set a short expiration window for OTP codes. Reference: OWASP Multi-Factor Authentication Cheat Sheet.</t>
  </si>
  <si>
    <t>[Insert screenshot showing the MFA verification step]
[Insert screenshot showing the bypass technique used]
[Insert screenshot showing successful access to authenticated functionality without completing MFA]</t>
  </si>
  <si>
    <t>Password Reset Vulnerability</t>
  </si>
  <si>
    <t>During the assessment, the tester identified a vulnerability in the application's password reset mechanism. The tester observed that the password reset implementation contains security weaknesses such as predictable reset tokens, reusable reset links, or susceptibility to Host Header poisoning, which could allow an attacker to take over user accounts.
In a financial institution context, a compromised password reset mechanism directly enables account takeover attacks, allowing an attacker to gain full control of customer accounts, change credentials, and perform unauthorized financial operations.</t>
  </si>
  <si>
    <t>1. Navigate to the password reset functionality at [APPLICATION_URL].
2. Request a password reset for a known user account.
3. [For Predictable Token] Request multiple reset tokens and analyze them for sequential or time-based patterns.
4. [For Token Reuse] Use a previously consumed reset link to verify if it still works.
5. [For Host Header Poisoning] Intercept the reset request and change the Host header to [ATTACKER_DOMAIN], then check if the reset email contains the attacker's domain.
6. Observe the results — successful exploitation confirms the password reset vulnerability.
7. [INSERT ADDITIONAL STEPS SPECIFIC TO YOUR FINDING]</t>
  </si>
  <si>
    <t>It is recommended to generate cryptographically random, unpredictable password reset tokens with a defined expiration period (e.g., 15-30 minutes). Invalidate reset tokens after single use, do not rely on the Host header for generating reset URLs, implement rate limiting on password reset requests, and require additional identity verification before allowing password changes. Reference: OWASP Forgot Password Cheat Sheet.</t>
  </si>
  <si>
    <t>[Insert screenshot showing the password reset request]
[Insert screenshot showing the vulnerability exploitation (e.g., predictable token, reusable link, or Host header poisoning)]
[Insert screenshot confirming the account takeover or unauthorized password change]</t>
  </si>
  <si>
    <t>TO.04</t>
  </si>
  <si>
    <t>Cross-Site Scripting (XSS)</t>
  </si>
  <si>
    <t>Reflected XSS</t>
  </si>
  <si>
    <t>During the assessment, the application was found to be vulnerable to Reflected Cross-Site Scripting (XSS). The tester identified that user-supplied input provided through the [PARAMETER_NAME] parameter is reflected in the application's response without proper output encoding or sanitization. By injecting JavaScript code into the affected parameter, the tester confirmed that the script was executed in the context of the user's browser.
In a financial institution context, Reflected XSS could be exploited by sending a crafted malicious URL to customers (e.g., via phishing emails). When the victim clicks the link, the injected JavaScript executes in their browser within the application's trusted domain, allowing the attacker to steal session tokens, capture credentials, perform unauthorized transactions on behalf of the victim, or redirect them to a phishing page.</t>
  </si>
  <si>
    <t>1. Navigate to [APPLICATION_URL] and identify the [AFFECTED_FUNCTIONALITY] feature.
2. Identify the [PARAMETER_NAME] parameter where user input is reflected in the response.
3. Inject the following XSS payload into the parameter: &lt;script&gt;alert(document.domain)&lt;/script&gt;
4. Observe the application response — execution of the JavaScript alert box displaying the application's domain confirms Reflected XSS.
5. If basic payloads are filtered, attempt alternative payloads such as: &lt;img src=x onerror=alert(document.domain)&gt;
6. [INSERT ADDITIONAL STEPS SPECIFIC TO YOUR FINDING]</t>
  </si>
  <si>
    <t>It is recommended to implement context-aware output encoding for all user-supplied input before rendering it in HTML, JavaScript, URL, or CSS contexts. Deploy a robust Content Security Policy (CSP) header to restrict script execution, implement input validation using a whitelist approach, and use established framework-level encoding libraries. Reference: OWASP XSS Prevention Cheat Sheet (https://cheatsheetseries.owasp.org/cheatsheets/Cross_Site_Scripting_Prevention_Cheat_Sheet.html).</t>
  </si>
  <si>
    <t>[Insert screenshot showing the injected XSS payload in the request]
[Insert screenshot showing the JavaScript execution (alert box) in the browser]
[Insert screenshot showing the reflected payload in the response source code]</t>
  </si>
  <si>
    <t>TO.04 - Cross-Site Scripting (XSS)</t>
  </si>
  <si>
    <t>Stored XSS</t>
  </si>
  <si>
    <t>During the assessment, the application was found to be vulnerable to Stored (Persistent) Cross-Site Scripting (XSS). The tester identified that user-supplied input containing JavaScript code is stored by the application (e.g., in a database, comment field, or profile) and subsequently rendered in the responses served to other users without proper output encoding. The injected script executes automatically whenever other users view the affected page.
Stored XSS is considered more severe than Reflected XSS as it does not require the victim to click a malicious link — the payload is delivered automatically when the user accesses the affected functionality. In a financial institution context, this could be exploited to mass-harvest session tokens, capture credentials of multiple customers, perform unauthorized transactions, or inject persistent phishing content within the trusted application.</t>
  </si>
  <si>
    <t>1. Navigate to [APPLICATION_URL] and access the [AFFECTED_FUNCTIONALITY] feature (e.g., comment section, profile page, feedback form).
2. Enter the following XSS payload in the [PARAMETER_NAME] field: &lt;script&gt;alert(document.domain)&lt;/script&gt;
3. Submit the form and observe that the input is stored successfully.
4. Navigate to the page where the stored content is rendered (or log in as a different user to view the content).
5. Observe the JavaScript alert box executing automatically, confirming Stored XSS.
6. [INSERT ADDITIONAL STEPS SPECIFIC TO YOUR FINDING]</t>
  </si>
  <si>
    <t>It is recommended to implement context-aware output encoding for all user-supplied input at the point of rendering. Apply strict input validation and sanitization at the point of storage, deploy a robust Content Security Policy (CSP), and conduct regular security reviews of all user-generated content rendering points. Reference: OWASP XSS Prevention Cheat Sheet.</t>
  </si>
  <si>
    <t>[Insert screenshot showing the injected XSS payload being submitted]
[Insert screenshot showing the stored payload in the application]
[Insert screenshot showing the JavaScript execution when another user views the content]</t>
  </si>
  <si>
    <t>DOM-Based XSS</t>
  </si>
  <si>
    <t>During the assessment, the application was found to be vulnerable to DOM-Based Cross-Site Scripting (XSS). The tester identified that client-side JavaScript code reads user-supplied input from a source (e.g., location.hash, document.URL, window.name) and writes it to a dangerous sink (e.g., document.write, innerHTML, eval) without proper sanitization. This allows the injection and execution of arbitrary JavaScript entirely on the client side, without the payload being sent to or reflected from the server.
In a financial institution context, DOM-Based XSS can be exploited to steal session tokens, capture user credentials, perform unauthorized actions on behalf of the victim, or redirect users to phishing pages. As the payload may not appear in server-side logs, this type of XSS can be particularly difficult to detect and monitor.</t>
  </si>
  <si>
    <t>1. Navigate to [APPLICATION_URL] and analyze the client-side JavaScript source code to identify DOM manipulation sinks.
2. Identify the source of user input (e.g., URL fragment, query parameter, or DOM property).
3. Inject the following payload through the identified source: #&lt;img src=x onerror=alert(document.domain)&gt;
4. Observe the application — JavaScript execution confirms DOM-Based XSS.
5. [INSERT ADDITIONAL STEPS SPECIFIC TO YOUR FINDING]</t>
  </si>
  <si>
    <t>It is recommended to avoid using unsafe DOM manipulation methods such as document.write, innerHTML, and eval with user-controlled input. Use safe DOM APIs such as textContent or createElement, implement client-side input validation and sanitization libraries (e.g., DOMPurify), and deploy a restrictive Content Security Policy (CSP). Reference: OWASP DOM-Based XSS Prevention Cheat Sheet.</t>
  </si>
  <si>
    <t>[Insert screenshot showing the vulnerable JavaScript code in the source]
[Insert screenshot showing the injected payload in the DOM source]
[Insert screenshot showing the JavaScript execution in the browser]</t>
  </si>
  <si>
    <t>TO.05</t>
  </si>
  <si>
    <t>Insecure Direct Object Reference (IDOR)</t>
  </si>
  <si>
    <t>Horizontal IDOR</t>
  </si>
  <si>
    <t>During the assessment, the application was found to be vulnerable to Horizontal Insecure Direct Object Reference (IDOR). The tester identified that by manipulating a user-controllable parameter (e.g., user_id, account_no, file_id) in the HTTP request, it was possible to access resources belonging to other users at the same privilege level without proper authorization checks.
In a financial institution context, horizontal IDOR is a critical vulnerability as it could allow an attacker to access other customers' account details, transaction histories, personal information, account statements, and other sensitive financial data by simply modifying an identifier in the request.</t>
  </si>
  <si>
    <t>1. Log in to the application at [APPLICATION_URL] with valid credentials (User A).
2. Navigate to the [AFFECTED_FUNCTIONALITY] and capture the HTTP request using an intercepting proxy.
3. Identify the [PARAMETER_NAME] parameter containing the user's resource identifier (e.g., user_id=123).
4. Modify the parameter value to reference another user's resource (e.g., user_id=124).
5. Forward the modified request and observe the response — if the application returns data belonging to another user, horizontal IDOR is confirmed.
6. [INSERT ADDITIONAL STEPS SPECIFIC TO YOUR FINDING]</t>
  </si>
  <si>
    <t>It is recommended to implement server-side authorization checks for every request to ensure that the authenticated user has the appropriate permissions to access the requested resource. Avoid exposing direct internal object references in API responses, use indirect reference maps or UUIDs that are not predictable, and implement access control validation at the data layer. Reference: OWASP Insecure Direct Object Reference Prevention.</t>
  </si>
  <si>
    <t>[Insert screenshot showing the original request with User A's resource identifier]
[Insert screenshot showing the modified request with User B's resource identifier]
[Insert screenshot showing User B's data returned in the response]</t>
  </si>
  <si>
    <t>TO.05 - Insecure Direct Object Reference (IDOR)</t>
  </si>
  <si>
    <t>Vertical IDOR (Privilege Escalation)</t>
  </si>
  <si>
    <t>During the assessment, the application was found to be vulnerable to Vertical Insecure Direct Object Reference (IDOR), enabling privilege escalation. The tester identified that by accessing administrative or higher-privilege API endpoints or modifying role-related parameters using a regular user's authentication token, it was possible to access functionality and data restricted to higher-privilege roles.
In a financial institution context, vertical IDOR could allow a regular user or a low-privilege attacker to access administrative dashboards, customer management functions, transaction approval workflows, system configurations, and other sensitive operations intended only for authorized personnel.</t>
  </si>
  <si>
    <t>1. Log in to the application at [APPLICATION_URL] with regular user credentials.
2. Identify administrative or higher-privilege API endpoints (e.g., /api/admin/users, /api/admin/config).
3. Send a request to the administrative endpoint using the regular user's authentication token.
4. Observe the application response — if the application returns administrative data or allows administrative actions, vertical IDOR is confirmed.
5. [INSERT ADDITIONAL STEPS SPECIFIC TO YOUR FINDING]</t>
  </si>
  <si>
    <t>It is recommended to implement role-based access control (RBAC) with server-side enforcement at every endpoint. Validate user roles and permissions before processing requests, implement the principle of least privilege, and conduct regular access control reviews. Ensure that access control logic is centralized and consistently applied across all application layers. Reference: OWASP Access Control Cheat Sheet.</t>
  </si>
  <si>
    <t>[Insert screenshot showing the regular user's authentication context]
[Insert screenshot showing the request to the administrative endpoint with the regular user's token]
[Insert screenshot showing the administrative data or functionality returned in the response]</t>
  </si>
  <si>
    <t>TO.06</t>
  </si>
  <si>
    <t>Security Misconfiguration</t>
  </si>
  <si>
    <t>Sensitive File/Directory Exposure</t>
  </si>
  <si>
    <t>During the assessment, the tester identified that sensitive files or directories are publicly accessible on the application server. The tester was able to access configuration files, version control metadata, backup files, or administrative interfaces that should not be exposed to unauthenticated users. Examples include exposed .git directories, .env files, backup archives, Swagger/OpenAPI documentation, or application framework debug endpoints.
In a financial institution context, exposure of such files could reveal critical information including database credentials, API keys, internal application architecture, source code, and administrative access paths, which could be leveraged for further attacks against the organization's systems.</t>
  </si>
  <si>
    <t>1. Navigate to [APPLICATION_URL] and append the following paths to access sensitive resources:
   - [SENSITIVE_PATH] (e.g., /.git/config, /.env, /swagger-ui.html, /actuator/env)
2. Observe the application response — if the sensitive file or directory content is returned (HTTP 200), the exposure is confirmed.
3. Review the exposed content for sensitive information such as credentials, API keys, or internal configuration details.
4. [INSERT ADDITIONAL STEPS SPECIFIC TO YOUR FINDING]</t>
  </si>
  <si>
    <t>It is recommended to restrict access to all sensitive files, directories, and administrative endpoints through proper web server configuration. Implement access control rules to deny public access to configuration files, version control metadata, backup files, and debug endpoints. Remove unnecessary files from the web root, and conduct regular security scans to identify exposed resources. Reference: OWASP Security Misconfiguration guidance.</t>
  </si>
  <si>
    <t>[Insert screenshot showing the request to the sensitive file/directory path]
[Insert screenshot showing the sensitive content returned in the response]</t>
  </si>
  <si>
    <t>TO.06 - Security Misconfiguration</t>
  </si>
  <si>
    <t>CORS Misconfiguration</t>
  </si>
  <si>
    <t>During the assessment, the tester identified that the application has an overly permissive Cross-Origin Resource Sharing (CORS) configuration. The application reflects arbitrary or wildcard Origin headers in the Access-Control-Allow-Origin response header, potentially in combination with Access-Control-Allow-Credentials: true. This allows malicious websites to make authenticated cross-origin requests and read the responses.
In a financial institution context, CORS misconfiguration could allow an attacker to create a malicious website that, when visited by an authenticated user, makes cross-origin requests to the banking application and reads sensitive response data including account details, transaction history, and personal information.</t>
  </si>
  <si>
    <t>1. Log in to the application at [APPLICATION_URL] with valid credentials.
2. Send a request to an authenticated API endpoint with an arbitrary Origin header (e.g., Origin: https://evil.com).
3. Observe the response headers — if the server responds with Access-Control-Allow-Origin: https://evil.com along with Access-Control-Allow-Credentials: true, the CORS misconfiguration is confirmed.
4. [INSERT ADDITIONAL STEPS SPECIFIC TO YOUR FINDING]</t>
  </si>
  <si>
    <t>It is recommended to implement a strict CORS policy that only allows trusted, explicitly whitelisted origins. Avoid reflecting the Origin header dynamically without validation, never use wildcard (*) for Access-Control-Allow-Origin when credentials are allowed, and validate the Origin against a strict whitelist of approved domains. Reference: OWASP CORS Misconfiguration guidance.</t>
  </si>
  <si>
    <t>[Insert screenshot showing the request with the arbitrary Origin header]
[Insert screenshot showing the permissive CORS headers in the response]</t>
  </si>
  <si>
    <t>HTTP Methods Enabled (TRACE/PUT/DELETE)</t>
  </si>
  <si>
    <t>During the assessment, the tester identified that the application server has unnecessary or potentially dangerous HTTP methods enabled. Methods such as TRACE, PUT, or DELETE were found to be accepted by the server, which could be leveraged for various attacks including Cross-Site Tracing (XST), unauthorized resource modification, or information disclosure.
In a financial institution context, enabled TRACE methods could be used to steal authentication credentials through XST attacks, while enabled PUT/DELETE methods could allow unauthorized modification or deletion of resources.</t>
  </si>
  <si>
    <t>1. Send an OPTIONS request to [APPLICATION_URL] and examine the Allow response header for enabled HTTP methods.
2. Send a TRACE request to the application and check if the server echoes back the full request (including headers) in the response body.
3. If PUT or DELETE methods are listed, attempt to use them against a known resource.
4. [INSERT ADDITIONAL STEPS SPECIFIC TO YOUR FINDING]</t>
  </si>
  <si>
    <t>It is recommended to disable all unnecessary HTTP methods at the web server and application level. Specifically, disable TRACE method to prevent Cross-Site Tracing attacks, and restrict PUT and DELETE methods to only the specific endpoints and authenticated users that require them. Configure the web server to return HTTP 405 (Method Not Allowed) for unsupported methods. Reference: OWASP Testing for HTTP Methods.</t>
  </si>
  <si>
    <t>[Insert screenshot showing the OPTIONS response with enabled methods]
[Insert screenshot showing the TRACE response echoing request headers if applicable]</t>
  </si>
  <si>
    <t>TO.07</t>
  </si>
  <si>
    <t>Sensitive Data Exposure (At Rest)</t>
  </si>
  <si>
    <t>Sensitive Data in API Response</t>
  </si>
  <si>
    <t>During the assessment, the tester identified that the application's API responses contain sensitive data that should not be exposed to the client. The tester observed unmasked or unnecessary sensitive information such as full credit card numbers (PAN), CVV, password hashes, Aadhaar numbers, SSN, internal IP addresses, or API keys being returned in API responses.
In a financial institution context, exposure of sensitive data in API responses violates data protection regulations (e.g., PCI-DSS for cardholder data, GDPR/DPDPA for personal data) and provides an attacker with valuable information that could be used for fraud, identity theft, or further attacks against the organization's infrastructure.</t>
  </si>
  <si>
    <t>1. Log in to the application at [APPLICATION_URL] and navigate to the [AFFECTED_FUNCTIONALITY].
2. Capture the API responses using an intercepting proxy.
3. Analyze the response body for sensitive data such as:
   - Unmasked PAN/CVV: [PATTERN_OBSERVED]
   - Password hashes: [PATTERN_OBSERVED]
   - PII (SSN/Aadhaar): [PATTERN_OBSERVED]
   - Internal IPs or API keys: [PATTERN_OBSERVED]
4. [INSERT ADDITIONAL STEPS SPECIFIC TO YOUR FINDING]</t>
  </si>
  <si>
    <t>It is recommended to implement data masking and filtering at the API layer to ensure that sensitive data is not exposed in responses unless absolutely necessary. Apply the principle of data minimization — return only the fields required by the client. Mask sensitive values (e.g., show only last 4 digits of PAN), remove password hashes from all client-facing responses, and ensure compliance with applicable data protection standards (PCI-DSS, GDPR, DPDPA). Reference: OWASP Sensitive Data Exposure guidance.</t>
  </si>
  <si>
    <t>[Insert screenshot showing the API response containing sensitive data]
[Insert screenshot highlighting the specific sensitive fields identified]</t>
  </si>
  <si>
    <t>TO.07 - Sensitive Data Exposure (At Rest)</t>
  </si>
  <si>
    <t>Secrets in Client-Side Storage/Source</t>
  </si>
  <si>
    <t>During the assessment, the tester identified that sensitive information such as API keys, authentication tokens, passwords, or encryption keys are stored in client-side storage (LocalStorage, SessionStorage) or hardcoded in JavaScript source files. This sensitive data is accessible to any client-side script, including potentially injected malicious scripts.
In a financial institution context, exposure of secrets in client-side code or storage could allow an attacker to access backend APIs, impersonate users, decrypt sensitive data, or gain unauthorized access to third-party services integrated with the application.</t>
  </si>
  <si>
    <t>1. Navigate to [APPLICATION_URL] and log in with valid credentials.
2. Open browser Developer Tools (F12).
3. Check Application &gt; Local Storage and Session Storage for sensitive values (tokens, keys, credentials).
4. Check the JavaScript source files for hardcoded secrets by searching for keywords such as: apiKey, secret, token, password, Authorization.
5. [INSERT ADDITIONAL STEPS SPECIFIC TO YOUR FINDING]</t>
  </si>
  <si>
    <t>It is recommended to never store sensitive information such as API keys, authentication tokens, or credentials in client-side storage or hardcoded in JavaScript files. Use server-side session management with secure HTTP-only cookies for authentication tokens, implement environment-based configuration management for API keys, and use short-lived tokens with server-side refresh mechanisms. Reference: OWASP Sensitive Data Exposure guidance.</t>
  </si>
  <si>
    <t>[Insert screenshot showing sensitive data found in LocalStorage/SessionStorage]
[Insert screenshot showing hardcoded secrets in JavaScript source files if applicable]</t>
  </si>
  <si>
    <t>TO.08</t>
  </si>
  <si>
    <t>Sensitive Data Exposure (In Transit)</t>
  </si>
  <si>
    <t>Weak TLS Configuration</t>
  </si>
  <si>
    <t>During the assessment, the tester identified that the application server supports outdated or weak TLS configurations. The server was found to accept deprecated protocol versions (TLS 1.0, TLS 1.1) or negotiate weak cipher suites (e.g., RC4, DES, 3DES) that are known to have cryptographic vulnerabilities.
In a financial institution context, weak TLS configurations expose encrypted communications to potential interception and decryption through known attacks such as BEAST, POODLE, or SWEET32. This could allow an attacker positioned on the network to intercept sensitive financial transactions, customer credentials, and personal data in transit.</t>
  </si>
  <si>
    <t>1. Identify the application's server address: [APPLICATION_HOST]:[PORT].
2. Test for deprecated TLS versions using: openssl s_client -tls1 -connect [HOST]:[PORT] (for TLS 1.0) and openssl s_client -tls1_1 -connect [HOST]:[PORT] (for TLS 1.1).
3. Test for weak ciphers using: openssl s_client -cipher RC4 -connect [HOST]:[PORT]
4. A successful connection with deprecated protocols or weak ciphers confirms the vulnerability.
5. [INSERT ADDITIONAL STEPS SPECIFIC TO YOUR FINDING]</t>
  </si>
  <si>
    <t>It is recommended to disable TLS 1.0 and TLS 1.1 on the server, supporting only TLS 1.2 and TLS 1.3. Disable weak cipher suites and configure the server to use only strong ciphers with forward secrecy (e.g., ECDHE-based ciphers). Implement a proper cipher suite ordering and regularly review TLS configurations using tools such as SSL Labs. Reference: OWASP Transport Layer Security Cheat Sheet.</t>
  </si>
  <si>
    <t>[Insert screenshot showing successful connection with TLS 1.0 or TLS 1.1]
[Insert screenshot showing weak cipher negotiation]
[Insert SSL Labs or testssl.sh scan results if applicable]</t>
  </si>
  <si>
    <t>TO.08 - Sensitive Data Exposure (In Transit)</t>
  </si>
  <si>
    <t>Missing Security Headers</t>
  </si>
  <si>
    <t>During the assessment, the tester identified that the application's HTTP responses are missing critical security headers. The absence of headers such as Strict-Transport-Security (HSTS), Content-Security-Policy (CSP), X-Frame-Options, X-Content-Type-Options, or Cache-Control on sensitive pages reduces the application's defense-in-depth posture and leaves it vulnerable to various client-side attacks.
In a financial institution context, missing security headers could facilitate SSL stripping attacks (missing HSTS), clickjacking attacks (missing X-Frame-Options), cross-site scripting (missing CSP), MIME-type sniffing attacks (missing X-Content-Type-Options), or caching of sensitive data on shared devices (missing Cache-Control).</t>
  </si>
  <si>
    <t>1. Navigate to [APPLICATION_URL] and access an authenticated page.
2. Capture the HTTP response using an intercepting proxy or browser Developer Tools.
3. Analyze the response headers and note the absence of the following security headers:
   - Strict-Transport-Security
   - Content-Security-Policy
   - X-Frame-Options
   - X-Content-Type-Options
   - Cache-Control (on sensitive pages)
4. [INSERT ADDITIONAL STEPS SPECIFIC TO YOUR FINDING]</t>
  </si>
  <si>
    <t>It is recommended to implement the following security headers across all application responses:
- Strict-Transport-Security: max-age=31536000; includeSubDomains
- Content-Security-Policy: [appropriate policy for the application]
- X-Frame-Options: DENY or SAMEORIGIN
- X-Content-Type-Options: nosniff
- Cache-Control: no-store (on pages containing sensitive data)
- Referrer-Policy: strict-origin-when-cross-origin
Reference: OWASP Secure Headers Project.</t>
  </si>
  <si>
    <t>[Insert screenshot showing the HTTP response headers with missing security headers highlighted]</t>
  </si>
  <si>
    <t>Cookie Security Flags Missing</t>
  </si>
  <si>
    <t>During the assessment, the tester identified that the application's session cookies are missing critical security attributes. The session cookie was observed without one or more of the following flags: Secure (ensures cookie is only sent over HTTPS), HttpOnly (prevents client-side script access), or SameSite (mitigates cross-site request attacks).
In a financial institution context, missing cookie security flags increase the risk of session hijacking through various attack vectors. A missing Secure flag allows cookie interception over unencrypted HTTP connections, a missing HttpOnly flag enables cookie theft through XSS attacks, and a missing SameSite flag facilitates CSRF attacks.</t>
  </si>
  <si>
    <t>1. Log in to the application at [APPLICATION_URL] with valid credentials.
2. Capture the HTTP response containing the Set-Cookie header using an intercepting proxy.
3. Analyze the Set-Cookie header and note the absence of the following attributes:
   - Secure flag
   - HttpOnly flag
   - SameSite attribute
4. [INSERT ADDITIONAL STEPS SPECIFIC TO YOUR FINDING]</t>
  </si>
  <si>
    <t>It is recommended to configure all session cookies with the following security attributes: Secure flag to ensure transmission only over HTTPS, HttpOnly flag to prevent client-side script access, and SameSite=Strict or SameSite=Lax to restrict cross-site cookie transmission. These attributes should be set consistently across all cookies, particularly those carrying session tokens or authentication data. Reference: OWASP Session Management Cheat Sheet.</t>
  </si>
  <si>
    <t>[Insert screenshot showing the Set-Cookie header with missing security flags highlighted]</t>
  </si>
  <si>
    <t>TO.09</t>
  </si>
  <si>
    <t>Broken Access Control</t>
  </si>
  <si>
    <t>Path Traversal</t>
  </si>
  <si>
    <t>During the assessment, the application was found to be vulnerable to Path Traversal (Directory Traversal). The tester identified that by injecting directory traversal sequences (e.g., ../, ..\, or URL-encoded variants) into a file-related parameter, it was possible to access files and directories outside the application's intended web root on the server's file system.
In a financial institution context, path traversal could allow an attacker to read sensitive server-side files including configuration files containing database credentials, application source code, private keys, and other confidential data stored on the server.</t>
  </si>
  <si>
    <t>1. Navigate to [APPLICATION_URL] and identify the [PARAMETER_NAME] parameter that references files or resources.
2. Inject the following path traversal payload: ../../../../etc/passwd (for Linux) or ..\..\..\windows\win.ini (for Windows).
3. Observe the application response — if the contents of the targeted system file are returned, path traversal is confirmed.
4. If basic payloads are filtered, attempt URL-encoded variants: %2e%2e%2f%2e%2e%2fetc%2fpasswd
5. [INSERT ADDITIONAL STEPS SPECIFIC TO YOUR FINDING]</t>
  </si>
  <si>
    <t>It is recommended to avoid using user-supplied input to construct file paths. If file access based on user input is necessary, implement a strict whitelist of allowed file names or use indirect reference maps. Validate and canonicalize all file paths on the server side, and run the application with minimal file system permissions. Reference: OWASP Path Traversal guidance.</t>
  </si>
  <si>
    <t>[Insert screenshot showing the path traversal payload in the request]
[Insert screenshot showing the sensitive file contents returned in the response]</t>
  </si>
  <si>
    <t>TO.09 - Broken Access Control</t>
  </si>
  <si>
    <t>Forced Browsing / Missing Access Control</t>
  </si>
  <si>
    <t>During the assessment, the tester identified that the application fails to enforce proper access control on certain administrative or restricted endpoints. By directly navigating to restricted URLs (forced browsing), the tester was able to access functionality intended for higher-privilege roles without proper authorization.
In a financial institution context, missing access control on administrative endpoints could allow a regular user or an unauthenticated attacker to access customer management panels, system configurations, transaction approval workflows, and other sensitive administrative functions.</t>
  </si>
  <si>
    <t>1. Log in to the application at [APPLICATION_URL] with a regular user account (or access as an unauthenticated user).
2. Directly navigate to the following restricted endpoint: [RESTRICTED_ENDPOINT] (e.g., /admin, /admin/users, /console).
3. Observe the application response — if the restricted functionality is accessible without appropriate authorization, missing access control is confirmed.
4. [INSERT ADDITIONAL STEPS SPECIFIC TO YOUR FINDING]</t>
  </si>
  <si>
    <t>It is recommended to implement centralized, server-side access control that enforces authorization checks on every request to restricted resources. Apply the principle of least privilege, implement role-based access control (RBAC), deny access by default, and conduct regular access control reviews and penetration testing. Reference: OWASP Access Control Cheat Sheet.</t>
  </si>
  <si>
    <t>[Insert screenshot showing the regular user's session context or unauthenticated access]
[Insert screenshot showing the restricted endpoint being accessed successfully]</t>
  </si>
  <si>
    <t>IP-Based Access Control Bypass</t>
  </si>
  <si>
    <t>During the assessment, the tester identified that the application's IP-based access control can be bypassed by manipulating HTTP headers such as X-Forwarded-For, X-Real-IP, or X-Originating-IP. The application relies on these client-controllable headers to determine the source IP address, allowing an attacker to spoof their IP address and bypass IP-based restrictions.
In a financial institution context, IP-based access controls are often used to restrict access to administrative interfaces, internal APIs, and sensitive operations to trusted networks. Bypass of these controls could grant an attacker access to restricted internal functionality from an external or untrusted network.</t>
  </si>
  <si>
    <t>1. Identify a restricted endpoint at [APPLICATION_URL] that enforces IP-based access control.
2. Send a request to the restricted endpoint and observe the access denied response.
3. Add the following header to the request: X-Forwarded-For: 127.0.0.1 (or the expected trusted IP).
4. Resend the request and observe the response — if access is granted, the IP-based access control bypass is confirmed.
5. [INSERT ADDITIONAL STEPS SPECIFIC TO YOUR FINDING]</t>
  </si>
  <si>
    <t>It is recommended to not rely on client-controllable HTTP headers (X-Forwarded-For, X-Real-IP) for access control decisions. Implement IP-based restrictions at the network or reverse proxy level where the true client IP is reliably determined. If header-based IP detection is necessary, configure the application to only trust headers from known, trusted proxy servers. Reference: OWASP Access Control Cheat Sheet.</t>
  </si>
  <si>
    <t>[Insert screenshot showing the access denied response without the spoofed header]
[Insert screenshot showing the request with the X-Forwarded-For header]
[Insert screenshot showing successful access with the spoofed header]</t>
  </si>
  <si>
    <t>TO.10</t>
  </si>
  <si>
    <t>Cross-Site Request Forgery (CSRF)</t>
  </si>
  <si>
    <t>CSRF - Missing or Weak Token Validation</t>
  </si>
  <si>
    <t>During the assessment, the application was found to be vulnerable to Cross-Site Request Forgery (CSRF). The tester identified that state-changing operations (e.g., fund transfers, profile updates, password changes) can be executed without proper CSRF token validation. The tester was able to successfully perform sensitive actions by removing the CSRF token, submitting an empty or random token value, or reusing a token from a different session.
In a financial institution context, CSRF vulnerability is critical as an attacker could craft a malicious web page that, when visited by an authenticated user, silently performs unauthorized actions such as fund transfers, beneficiary additions, or profile modifications on the victim's behalf without their knowledge or consent.</t>
  </si>
  <si>
    <t>1. Log in to the application at [APPLICATION_URL] and navigate to a state-changing functionality (e.g., [AFFECTED_FUNCTIONALITY]).
2. Capture the HTTP request using an intercepting proxy.
3. Attempt the following CSRF bypass techniques:
   a. Remove the CSRF token parameter entirely and resend the request.
   b. Set the CSRF token to an empty value and resend.
   c. Replace the CSRF token with a random value and resend.
   d. Use a CSRF token from a different user's session.
4. If any of the above modified requests are processed successfully, the CSRF vulnerability is confirmed.
5. [INSERT ADDITIONAL STEPS SPECIFIC TO YOUR FINDING]</t>
  </si>
  <si>
    <t>It is recommended to implement a robust anti-CSRF mechanism using cryptographically random tokens that are unique per session and validated on the server side for every state-changing request. Use the SameSite cookie attribute (Strict or Lax) as an additional defense layer. Implement the Synchronizer Token Pattern or the Double Submit Cookie pattern. Reference: OWASP CSRF Prevention Cheat Sheet (https://cheatsheetseries.owasp.org/cheatsheets/Cross-Site_Request_Forgery_Prevention_Cheat_Sheet.html).</t>
  </si>
  <si>
    <t>[Insert screenshot showing the original request with CSRF token]
[Insert screenshot showing the modified request without/invalid CSRF token]
[Insert screenshot showing the successful action execution despite missing/invalid CSRF token]</t>
  </si>
  <si>
    <t>TO.10 - Cross-Site Request Forgery (CSRF)</t>
  </si>
  <si>
    <t>TO.11</t>
  </si>
  <si>
    <t>Using Components with Known Vulnerabilities</t>
  </si>
  <si>
    <t>Outdated Component with Known CVE</t>
  </si>
  <si>
    <t>During the assessment, the tester identified that the application utilizes third-party components or libraries with known security vulnerabilities. The specific component identified was [COMPONENT_NAME] version [VERSION], which is associated with [CVE_ID] and has a publicly known exploit.
In a financial institution context, the use of vulnerable components exposes the application to known attack vectors that may have readily available exploit code. Depending on the vulnerability, this could lead to remote code execution, data breaches, denial of service, or other impacts that could compromise the security of the financial application and its data.</t>
  </si>
  <si>
    <t>1. Access the application at [APPLICATION_URL] and identify the technology stack.
2. Check JavaScript libraries using browser Developer Tools console (e.g., $.fn.jquery for jQuery version).
3. Check response headers (Server, X-Powered-By) for server-side component versions.
4. Identify the vulnerable component: [COMPONENT_NAME] version [VERSION].
5. Cross-reference with public vulnerability databases (NVD, CVE) to confirm the known vulnerability.
6. [INSERT ADDITIONAL STEPS SPECIFIC TO YOUR FINDING]</t>
  </si>
  <si>
    <t>It is recommended to update the identified vulnerable component to the latest stable version that addresses the known vulnerability. Implement a software composition analysis (SCA) process to regularly monitor third-party dependencies for known vulnerabilities. Establish a patch management policy with defined SLAs for addressing critical and high-severity vulnerabilities. Remove unused components and dependencies. Reference: OWASP Vulnerable and Outdated Components guidance.</t>
  </si>
  <si>
    <t>[Insert screenshot showing the vulnerable component version identified]
[Insert screenshot showing the CVE details from NVD or vendor advisory]
[Insert screenshot showing the version information in response headers or source code]</t>
  </si>
  <si>
    <t>TO.11 - Using Components with Known Vulnerabilities</t>
  </si>
  <si>
    <t>TO.12</t>
  </si>
  <si>
    <t>Unvalidated Redirects and Forwards</t>
  </si>
  <si>
    <t>Open Redirect</t>
  </si>
  <si>
    <t>During the assessment, the application was found to be vulnerable to Open Redirect. The tester identified that the application uses a user-controllable parameter to determine the redirect destination without proper validation. By modifying the redirect parameter to an external malicious URL, the tester was able to redirect users away from the legitimate application to an attacker-controlled website.
In a financial institution context, open redirects are commonly exploited in phishing campaigns where attackers craft URLs that appear to originate from the trusted banking domain but redirect victims to a fake login page designed to steal credentials. The trust associated with the legitimate domain URL makes these phishing attacks significantly more effective.</t>
  </si>
  <si>
    <t>1. Navigate to [APPLICATION_URL] and identify the [PARAMETER_NAME] parameter used for redirection.
2. Modify the parameter value to an external URL: https://evil.com
3. If basic payloads are blocked, attempt bypass techniques:
   - Protocol-relative: //evil.com
   - URL encoding: https%3A%2F%2Fevil.com
   - @ bypass: https://legit.com@evil.com
4. Observe the application behavior — if the user is redirected to the external URL, the open redirect is confirmed.
5. [INSERT ADDITIONAL STEPS SPECIFIC TO YOUR FINDING]</t>
  </si>
  <si>
    <t>It is recommended to avoid using user-controlled input for determining redirect destinations. If redirects based on user input are necessary, implement a strict whitelist of allowed redirect URLs, use indirect reference maps (e.g., numeric IDs mapped to specific URLs), and validate the redirect destination against the whitelist on the server side before performing the redirect. Reference: OWASP Unvalidated Redirects and Forwards guidance.</t>
  </si>
  <si>
    <t>[Insert screenshot showing the modified redirect parameter in the request]
[Insert screenshot showing the redirection to the external URL]</t>
  </si>
  <si>
    <t>TO.12 - Unvalidated Redirects and Forwards</t>
  </si>
  <si>
    <t>TO.13</t>
  </si>
  <si>
    <t>Information Leakage and Improper Error Handling</t>
  </si>
  <si>
    <t>Verbose Error Messages / Stack Traces</t>
  </si>
  <si>
    <t>During the assessment, the tester identified that the application returns verbose error messages or stack traces in response to malformed input or unexpected conditions. The error messages revealed sensitive information including database type, framework version, internal file paths, SQL query structure, or server configuration details.
In a financial institution context, information leakage through error messages provides an attacker with valuable reconnaissance data that can be used to craft targeted attacks. Knowledge of the database type enables SQL injection fine-tuning, exposed file paths aid in path traversal attacks, and framework version information helps identify known vulnerabilities.</t>
  </si>
  <si>
    <t>1. Navigate to [APPLICATION_URL] and access the [AFFECTED_FUNCTIONALITY].
2. Submit malformed input (e.g., special characters, invalid data types, excessively long strings) in the [PARAMETER_NAME] parameter.
3. Observe the application response — verbose error messages containing internal details (database type, file paths, stack traces) confirm the information leakage.
4. [INSERT ADDITIONAL STEPS SPECIFIC TO YOUR FINDING]</t>
  </si>
  <si>
    <t>It is recommended to implement custom error handling that returns generic, user-friendly error messages in production environments without revealing internal application details. Configure the application framework to suppress detailed stack traces and debug information. Log detailed error information securely on the server side for developer review while presenting only generic messages to the client. Reference: OWASP Improper Error Handling guidance.</t>
  </si>
  <si>
    <t>[Insert screenshot showing the malformed input in the request]
[Insert screenshot showing the verbose error message/stack trace in the response]</t>
  </si>
  <si>
    <t>TO.13 - Information Leakage and Improper Error Handling</t>
  </si>
  <si>
    <t>During the assessment, the tester identified that the application's HTTP responses are missing important security headers that provide defense-in-depth against common web attacks. Specifically, the following headers were found to be absent or improperly configured: [LIST_MISSING_HEADERS].
In a financial institution context, the absence of security headers leaves the application vulnerable to clickjacking attacks (missing X-Frame-Options), cross-site scripting through inline scripts (missing CSP), and MIME-type confusion attacks (missing X-Content-Type-Options), among other threats.</t>
  </si>
  <si>
    <t>1. Navigate to [APPLICATION_URL] and capture the HTTP response.
2. Analyze the response headers for the presence and correct configuration of:
   - X-Frame-Options: DENY or SAMEORIGIN
   - Content-Security-Policy: [appropriate policy]
   - X-Content-Type-Options: nosniff
3. Note which security headers are missing or misconfigured.
4. [INSERT ADDITIONAL STEPS SPECIFIC TO YOUR FINDING]</t>
  </si>
  <si>
    <t>It is recommended to implement the appropriate security headers as described in the OWASP Secure Headers Project. At minimum, configure X-Frame-Options, Content-Security-Policy, X-Content-Type-Options, and Referrer-Policy headers. Test the implementation to ensure it does not break application functionality. Reference: OWASP Secure Headers Project (https://owasp.org/www-project-secure-headers/).</t>
  </si>
  <si>
    <t>[Insert screenshot showing the HTTP response with missing security headers highlighted]</t>
  </si>
  <si>
    <t>TO.14</t>
  </si>
  <si>
    <t>Buffer Overflow</t>
  </si>
  <si>
    <t>Input Length Validation Failure</t>
  </si>
  <si>
    <t>During the assessment, the tester identified that the application does not properly validate the length of user-supplied input. By submitting excessively long strings (5,000-50,000+ characters) or boundary integer values (e.g., 2147483647, -2147483648) into application fields, the tester observed abnormal application behavior such as HTTP 500 errors, application crashes, or unexpected processing results.
In a financial institution context, buffer overflow or input length validation failures could lead to denial of service, memory corruption, or in severe cases, remote code execution. Integer overflow vulnerabilities in financial calculations could result in incorrect transaction amounts, negative balance bypass, or other financial logic errors.</t>
  </si>
  <si>
    <t>1. Navigate to [APPLICATION_URL] and access the [AFFECTED_FUNCTIONALITY].
2. Identify the [PARAMETER_NAME] input field.
3. Submit an excessively long string (e.g., 'A' x 5000 or 'A' x 50000) in the field.
4. Alternatively, submit boundary integer values (e.g., 2147483647, 2147483648, -2147483648) in numeric fields.
5. Observe the application response — HTTP 500 errors, crashes, unexpected behavior, or incorrect calculations confirm the vulnerability.
6. [INSERT ADDITIONAL STEPS SPECIFIC TO YOUR FINDING]</t>
  </si>
  <si>
    <t>It is recommended to implement strict server-side input validation including maximum length checks, data type validation, and range validation for all user-supplied input. Use safe integer handling functions that detect overflow conditions, implement application-level error handling to gracefully handle unexpected input, and configure resource limits at the server level. Reference: OWASP Input Validation Cheat Sheet.</t>
  </si>
  <si>
    <t>[Insert screenshot showing the oversized/boundary input in the request]
[Insert screenshot showing the abnormal application response (error, crash, or unexpected behavior)]</t>
  </si>
  <si>
    <t>TO.14 - Buffer Overflow</t>
  </si>
  <si>
    <t>TO.16</t>
  </si>
  <si>
    <t>XML External Entities (XXE)</t>
  </si>
  <si>
    <t>XXE Injection</t>
  </si>
  <si>
    <t>During the assessment, the application was found to be vulnerable to XML External Entity (XXE) Injection. The tester identified that the application parses XML input from users without disabling external entity processing. By submitting a crafted XML payload containing an external entity declaration, the tester was able to read local files from the server, perform server-side request forgery (SSRF), or trigger out-of-band data exfiltration.
In a financial institution context, XXE vulnerabilities could allow an attacker to read sensitive server-side files (configuration files, credentials), scan internal network services, access cloud metadata endpoints (e.g., AWS IMDSv1), and exfiltrate data through out-of-band channels, potentially leading to full infrastructure compromise.</t>
  </si>
  <si>
    <t>1. Identify an endpoint at [APPLICATION_URL] that accepts XML input (e.g., [AFFECTED_ENDPOINT]).
2. Submit the following XXE payload:
   &lt;?xml version="1.0"?&gt;&lt;!DOCTYPE foo [&lt;!ENTITY xxe SYSTEM "file:///etc/passwd"&gt;]&gt;&lt;root&gt;&amp;xxe;&lt;/root&gt;
3. Observe the application response — if the contents of /etc/passwd are included in the response, XXE is confirmed.
4. If no direct output is visible, attempt blind/OOB XXE using an external DTD hosted on [COLLABORATOR_DOMAIN].
5. [INSERT ADDITIONAL STEPS SPECIFIC TO YOUR FINDING]</t>
  </si>
  <si>
    <t>It is recommended to disable external entity processing and DTD processing in the XML parser configuration. Use less complex data formats such as JSON where possible. If XML is required, use XML parsers that have secure defaults or configure them to disable external entities (e.g., set XMLConstants.FEATURE_SECURE_PROCESSING to true in Java). Implement input validation to reject XML documents containing DOCTYPE declarations. Reference: OWASP XXE Prevention Cheat Sheet (https://cheatsheetseries.owasp.org/cheatsheets/XML_External_Entity_Prevention_Cheat_Sheet.html).</t>
  </si>
  <si>
    <t>[Insert screenshot showing the XXE payload in the request]
[Insert screenshot showing the sensitive file contents returned in the response]
[Insert screenshot of out-of-band callback if applicable]</t>
  </si>
  <si>
    <t>TO.16 - XML External Entities (XXE)</t>
  </si>
  <si>
    <t>TO.17</t>
  </si>
  <si>
    <t>Insecure Deserialization</t>
  </si>
  <si>
    <t>During the assessment, the application was found to be vulnerable to Insecure Deserialization. The tester identified that the application accepts and processes serialized objects from untrusted sources without proper validation or integrity checks. By manipulating the serialized data (e.g., Java serialized objects, PHP serialized strings, .NET ViewState, or Python Pickle payloads), the tester was able to alter application logic, escalate privileges, or achieve remote code execution.
In a financial institution context, insecure deserialization vulnerabilities could allow an attacker to execute arbitrary code on the server, modify transaction processing logic, escalate privileges to administrative roles, or cause denial of service, potentially leading to complete compromise of the financial application and its underlying infrastructure.</t>
  </si>
  <si>
    <t>1. Identify endpoints at [APPLICATION_URL] that accept serialized data (e.g., cookies with base64 content, parameters containing Java/PHP serialized objects, ViewState fields).
2. Detect serialization format by examining the data:
   - Java: Look for rO0AB (base64) or aced0005 (hex)
   - PHP: Look for O: or a: prefixed strings
   - .NET: Check __VIEWSTATE parameter
3. Attempt to manipulate the serialized data (e.g., modify role/user claims, inject crafted deserialization payloads).
4. Observe the application behavior — altered behavior, privilege escalation, or command execution confirms the vulnerability.
5. [INSERT ADDITIONAL STEPS SPECIFIC TO YOUR FINDING]</t>
  </si>
  <si>
    <t>It is recommended to avoid accepting serialized objects from untrusted sources. If deserialization is necessary, implement integrity checks (e.g., digital signatures) on serialized data before processing. Use allow-lists for deserializable classes, implement type checking and constraints during deserialization, and monitor deserialization activity for anomalous patterns. Consider using safer data formats such as JSON for data exchange. Reference: OWASP Deserialization Cheat Sheet.</t>
  </si>
  <si>
    <t>[Insert screenshot showing the serialized data identified in the request]
[Insert screenshot showing the manipulated serialized payload]
[Insert screenshot showing the altered application behavior or exploitation result]</t>
  </si>
  <si>
    <t>TO.17 - Insecure Deserialization</t>
  </si>
  <si>
    <t>TO.18</t>
  </si>
  <si>
    <t>Server-Side Request Forgery (SSRF)</t>
  </si>
  <si>
    <t>SSRF</t>
  </si>
  <si>
    <t>During the assessment, the application was found to be vulnerable to Server-Side Request Forgery (SSRF). The tester identified that the application makes server-side HTTP requests based on user-supplied URLs or URL components without proper validation. By manipulating the URL parameter, the tester was able to force the server to make requests to internal network resources, localhost services, or cloud metadata endpoints that are not directly accessible from the internet.
In a financial institution context, SSRF is particularly critical as internal banking networks typically host sensitive services such as payment gateways, core banking systems, internal APIs, and databases behind network-level controls. An SSRF vulnerability could allow an attacker to bypass these controls, access internal services, read cloud credentials (e.g., AWS IAM role credentials from the metadata endpoint), scan the internal network, and potentially pivot to compromise critical financial infrastructure.</t>
  </si>
  <si>
    <t>1. Navigate to [APPLICATION_URL] and identify the [PARAMETER_NAME] parameter that accepts URL input (e.g., URL fetch, webhook, image import, PDF generation functionality).
2. Inject the following SSRF payloads to test for internal access:
   - Localhost: http://127.0.0.1/
   - Internal network: http://192.168.1.1/ or http://10.0.0.1/
   - Cloud metadata (AWS): http://169.254.169.254/latest/meta-data/
3. Observe the application response for content from internal resources.
4. If direct response is not visible, attempt out-of-band detection using: http://[COLLABORATOR_DOMAIN]/ssrf
5. If basic payloads are blocked, attempt bypass techniques (DNS rebinding, IP encoding, URL shorteners).
6. [INSERT ADDITIONAL STEPS SPECIFIC TO YOUR FINDING]</t>
  </si>
  <si>
    <t>It is recommended to implement strict server-side URL validation with an allow-list of permitted domains, protocols, and IP ranges. Block requests to private/internal IP ranges (10.x, 172.16-31.x, 192.168.x, 127.x, 169.254.x), disable unnecessary URL schemes (file://, gopher://), implement network-level segmentation to limit the application server's access to internal services, and use DNS resolution validation to prevent DNS rebinding attacks. Reference: OWASP SSRF Prevention Cheat Sheet.</t>
  </si>
  <si>
    <t>[Insert screenshot showing the SSRF payload in the request]
[Insert screenshot showing the internal resource content in the response]
[Insert screenshot of out-of-band callback if applicable]</t>
  </si>
  <si>
    <t>TO.18 - Server-Side Request Forgery (SSRF)</t>
  </si>
  <si>
    <t>TO.99</t>
  </si>
  <si>
    <t>Others</t>
  </si>
  <si>
    <t>Business Logic Flaw</t>
  </si>
  <si>
    <t>During the assessment, the tester identified a business logic vulnerability in the application. The tester observed that the application's workflow can be manipulated by performing actions outside the intended sequence, submitting unexpected values, or exploiting race conditions. Specifically, [DESCRIBE_SPECIFIC_LOGIC_FLAW] was identified, which allows an attacker to achieve an unintended outcome that the application's business rules should prevent.
In a financial institution context, business logic flaws are particularly dangerous as they can directly impact financial operations. Examples include negative amount transfers, transaction replay for double processing, skipping approval steps, price manipulation, and coupon code abuse. These vulnerabilities often bypass traditional security controls as the individual requests appear legitimate.</t>
  </si>
  <si>
    <t>1. Navigate to [APPLICATION_URL] and access the [AFFECTED_FUNCTIONALITY].
2. Identify the normal business workflow and the expected sequence of operations.
3. Attempt to manipulate the workflow by: [DESCRIBE_SPECIFIC_MANIPULATION]
   Examples:
   - Submitting a negative amount in a transfer field
   - Replaying a transaction request to achieve duplicate processing
   - Skipping a mandatory step (e.g., OTP verification) by directly accessing the next step URL
4. Observe the application behavior — if the unintended action is processed successfully, the business logic flaw is confirmed.
5. [INSERT ADDITIONAL STEPS SPECIFIC TO YOUR FINDING]</t>
  </si>
  <si>
    <t>It is recommended to implement comprehensive server-side validation of all business rules and workflow sequences. Enforce proper state management to prevent step-skipping, validate transaction amounts and parameters against business constraints, implement idempotency controls to prevent transaction replay, and use server-side rate limiting for sensitive operations. Conduct regular business logic testing as part of the security assessment program. Reference: OWASP Business Logic Vulnerabilities.</t>
  </si>
  <si>
    <t>[Insert screenshot showing the manipulated request]
[Insert screenshot showing the unintended outcome or successful exploitation]</t>
  </si>
  <si>
    <t>TO.99 - Others</t>
  </si>
  <si>
    <t>Unrestricted File Upload</t>
  </si>
  <si>
    <t>During the assessment, the tester identified that the application's file upload functionality does not implement adequate security controls to restrict the types of files that can be uploaded. The tester was able to upload potentially dangerous files (e.g., web shells, executable scripts, files with double extensions, or files with spoofed MIME types) that could be executed on the server or served to other users.
In a financial institution context, unrestricted file upload could allow an attacker to upload and execute a web shell on the server, leading to complete server compromise, data exfiltration, lateral movement within the internal network, and access to sensitive financial systems and data.</t>
  </si>
  <si>
    <t>1. Navigate to [APPLICATION_URL] and access the file upload functionality at [AFFECTED_ENDPOINT].
2. Attempt to upload a file with a dangerous extension (e.g., .php, .jsp, .aspx).
3. If extension filtering is present, attempt bypass techniques:
   - Double extension: test.php.jpg
   - Null byte: test.php%00.jpg
   - MIME type spoofing: Upload .php file with Content-Type: image/jpeg
4. If the upload is successful, attempt to access the uploaded file directly.
5. Observe the application behavior — if the uploaded file is accessible and/or executed, the vulnerability is confirmed.
6. [INSERT ADDITIONAL STEPS SPECIFIC TO YOUR FINDING]</t>
  </si>
  <si>
    <t>It is recommended to implement comprehensive file upload validation including file extension whitelisting, MIME type verification, file content/magic byte validation, and file size limits. Store uploaded files outside the web root directory, rename uploaded files with randomly generated names, serve files through a separate domain or CDN, and scan uploaded files with antivirus/malware detection. Reference: OWASP File Upload Security guidance.</t>
  </si>
  <si>
    <t>[Insert screenshot showing the malicious file upload attempt]
[Insert screenshot showing the successful upload]
[Insert screenshot showing the uploaded file being accessed or executed if applicable]</t>
  </si>
  <si>
    <t>Clickjacking</t>
  </si>
  <si>
    <t>During the assessment, the tester identified that the application is vulnerable to Clickjacking (UI Redressing). The application pages can be embedded within an iframe on an attacker-controlled website, as the application does not implement adequate framing protections (X-Frame-Options header or Content-Security-Policy frame-ancestors directive).
In a financial institution context, clickjacking could be exploited to trick users into performing unintended actions such as initiating fund transfers, changing account settings, or approving transactions by overlaying transparent iframes on a deceptive page. The user believes they are interacting with the visible page, but their clicks are actually directed to the hidden banking application underneath.</t>
  </si>
  <si>
    <t>1. Create a test HTML page containing an iframe that loads the target application:
   &lt;iframe src="[APPLICATION_URL]" style="opacity:0.5;width:100%;height:100%"&gt;&lt;/iframe&gt;
2. Open the test page in a browser.
3. Observe whether the target application loads within the iframe.
4. If the application renders in the iframe, clickjacking is possible.
5. [INSERT ADDITIONAL STEPS SPECIFIC TO YOUR FINDING]</t>
  </si>
  <si>
    <t>It is recommended to implement framing protection using both the X-Frame-Options header (set to DENY or SAMEORIGIN) and the Content-Security-Policy frame-ancestors directive (e.g., frame-ancestors 'self'). These headers instruct browsers to prevent the application from being embedded in iframes on unauthorized domains. Reference: OWASP Clickjacking Defense Cheat Sheet.</t>
  </si>
  <si>
    <t>[Insert screenshot showing the test HTML page with the embedded iframe]
[Insert screenshot showing the application rendered within the iframe]</t>
  </si>
  <si>
    <t>Rate Limiting Not Implemented</t>
  </si>
  <si>
    <t>During the assessment, the tester identified that the application does not enforce rate limiting on sensitive endpoints such as login, OTP verification, password reset, or API endpoints. The tester was able to send a large number of requests in rapid succession without any throttling, CAPTCHA challenge, or temporary blocking being applied.
In a financial institution context, the absence of rate limiting enables various automated attacks including brute force attacks on credentials, OTP brute forcing, credential stuffing, API abuse, and denial of service. These attacks could lead to unauthorized account access, service disruption, and resource exhaustion.</t>
  </si>
  <si>
    <t>1. Identify a sensitive endpoint at [APPLICATION_URL] (e.g., login, OTP verification, password reset, API endpoint).
2. Configure an automated tool (e.g., Burp Suite Intruder) to send [NUMBER] requests in rapid succession.
3. Observe the application behavior — if all requests are processed without any rate limiting, CAPTCHA, or blocking, the vulnerability is confirmed.
4. Check for HTTP 429 (Too Many Requests) responses, which would indicate rate limiting.
5. [INSERT ADDITIONAL STEPS SPECIFIC TO YOUR FINDING]</t>
  </si>
  <si>
    <t>It is recommended to implement rate limiting on all sensitive endpoints including authentication, OTP verification, password reset, and high-value API operations. Use progressive rate limiting that increases restrictions with continued abuse, implement CAPTCHA as a secondary control, and consider implementing account-level and IP-level throttling. Reference: OWASP Rate Limiting guidance.</t>
  </si>
  <si>
    <t>[Insert screenshot showing the automated tool configuration]
[Insert screenshot showing all requests processed successfully without rate limiting]
[Insert screenshot showing no HTTP 429 responses]</t>
  </si>
  <si>
    <t>Account Enumeration</t>
  </si>
  <si>
    <t>During the assessment, the tester identified that the application reveals the existence of valid user accounts through differential responses. The application returns distinguishable responses (different error messages, HTTP status codes, response times, or response lengths) for valid versus invalid usernames/emails on functionality such as login, registration, or password reset.
In a financial institution context, account enumeration allows an attacker to compile a list of valid customer accounts, which can then be targeted for brute force attacks, credential stuffing, social engineering, or phishing campaigns. This information disclosure significantly reduces the effort required for further attacks.</t>
  </si>
  <si>
    <t>1. Navigate to [APPLICATION_URL] and access the [AFFECTED_FUNCTIONALITY] (e.g., login, registration, forgot password).
2. Submit a request with a known valid username/email and note the response (error message, status code, response time, response length).
3. Submit a request with an invalid/non-existent username/email.
4. Compare the responses — any distinguishable difference confirms account enumeration.
5. [INSERT ADDITIONAL STEPS SPECIFIC TO YOUR FINDING]</t>
  </si>
  <si>
    <t>It is recommended to return identical, generic response messages for both valid and invalid account inputs across all authentication-related functionality. Ensure consistent response times by implementing constant-time comparison operations, use generic messages such as 'If an account with that email exists, a reset link has been sent', and implement CAPTCHA to prevent automated enumeration. Reference: OWASP Authentication Cheat Sheet.</t>
  </si>
  <si>
    <t>[Insert screenshot showing the response for a valid username/email]
[Insert screenshot showing the different response for an invalid username/email]
[Insert screenshot highlighting the difference in responses]</t>
  </si>
  <si>
    <t>#</t>
  </si>
  <si>
    <t>CVSS Score</t>
  </si>
  <si>
    <t>CVSS Vector</t>
  </si>
  <si>
    <t>Evidence / POC</t>
  </si>
  <si>
    <t>UniqueCategories</t>
  </si>
  <si>
    <t>AV:N/AC:H/PR:N/UI:N/S:U/C:L/I:N/A:L</t>
  </si>
  <si>
    <t>CWE-ID</t>
  </si>
  <si>
    <t>CWE-89</t>
  </si>
  <si>
    <t>CWE-78</t>
  </si>
  <si>
    <t>CWE-943</t>
  </si>
  <si>
    <t>CWE-1336</t>
  </si>
  <si>
    <t>CWE-90</t>
  </si>
  <si>
    <t>CWE-93</t>
  </si>
  <si>
    <t>CWE-1236</t>
  </si>
  <si>
    <t>CWE-79</t>
  </si>
  <si>
    <t>CWE-613</t>
  </si>
  <si>
    <t>CWE-384</t>
  </si>
  <si>
    <t>CWE-598</t>
  </si>
  <si>
    <t>CWE-798</t>
  </si>
  <si>
    <t>CWE-287</t>
  </si>
  <si>
    <t>CWE-307</t>
  </si>
  <si>
    <t>CWE-308</t>
  </si>
  <si>
    <t>CWE-640</t>
  </si>
  <si>
    <t>CWE-639</t>
  </si>
  <si>
    <t>CWE-862</t>
  </si>
  <si>
    <t>CWE-538</t>
  </si>
  <si>
    <t>CWE-942</t>
  </si>
  <si>
    <t>CWE-16</t>
  </si>
  <si>
    <t>CWE-200</t>
  </si>
  <si>
    <t>CWE-312</t>
  </si>
  <si>
    <t>CWE-326</t>
  </si>
  <si>
    <t>CWE-693</t>
  </si>
  <si>
    <t>CWE-614</t>
  </si>
  <si>
    <t>CWE-22</t>
  </si>
  <si>
    <t>CWE-425</t>
  </si>
  <si>
    <t>CWE-290</t>
  </si>
  <si>
    <t>CWE-352</t>
  </si>
  <si>
    <t>CWE-1104</t>
  </si>
  <si>
    <t>CWE-601</t>
  </si>
  <si>
    <t>CWE-209</t>
  </si>
  <si>
    <t>CWE-120</t>
  </si>
  <si>
    <t>CWE-611</t>
  </si>
  <si>
    <t>CWE-502</t>
  </si>
  <si>
    <t>CWE-918</t>
  </si>
  <si>
    <t>CWE-840</t>
  </si>
  <si>
    <t>CWE-434</t>
  </si>
  <si>
    <t>CWE-1021</t>
  </si>
  <si>
    <t>CWE-770</t>
  </si>
  <si>
    <t>CWE-204</t>
  </si>
  <si>
    <t>CWE-ID:</t>
  </si>
  <si>
    <t>Finding Title</t>
  </si>
  <si>
    <t>Findings Added:</t>
  </si>
  <si>
    <t>Critical:</t>
  </si>
  <si>
    <t>High:</t>
  </si>
  <si>
    <t>Medium:</t>
  </si>
  <si>
    <t>Low:</t>
  </si>
  <si>
    <t>Info:</t>
  </si>
  <si>
    <t>Template Version:</t>
  </si>
  <si>
    <t>Last Updated:</t>
  </si>
  <si>
    <t>Sum</t>
  </si>
  <si>
    <t>Average</t>
  </si>
  <si>
    <t>Running Total</t>
  </si>
  <si>
    <t>Count</t>
  </si>
  <si>
    <t>No</t>
  </si>
  <si>
    <t>This is a retest of Previous finding PT9327#VA02.
During the assessment, the application was found to be vulnerable to NoSQL Injection. The tester identified that user-supplied input is being directly passed into NoSQL database queries (e.g., MongoDB) without proper sanitization, allowing the injection of database-specific operators such as $gt, $ne, or $regex. By crafting malicious input, the tester was able to bypass authentication mechanisms and manipulate query logic.
In a financial institution context, this vulnerability could allow an attacker to bypass login controls, access unauthorized customer accounts, enumerate sensitive data, and potentially modify or delete critical records in the NoSQL database.</t>
  </si>
  <si>
    <t>CWE-943 — TO.01 — NoSQL Injection</t>
  </si>
  <si>
    <t>This is a new finding.
During the assessment, the tester identified that the application allows multiple concurrent active sessions for the same user account. By logging in from two different browsers or devices simultaneously, both sessions remained active without any notification or termination of the previous session.
In a financial institution context, failure to enforce single-session policies means that if an attacker compromises a user's credentials, they can maintain a parallel session even while the legitimate user is actively using the application, enabling unauthorized access to sensitive financial operations without the user's knowledge.</t>
  </si>
  <si>
    <t>CWE-613 — TO.02 — Concurrent Sessions Allowed</t>
  </si>
  <si>
    <t>AV:N/AC:L/PR:L/UI:N/S:U/C:L/I:L/A:H</t>
  </si>
  <si>
    <t>This is a new finding.
During the assessment, the application was found to be vulnerable to Session Fixation. The tester observed that the session identifier issued before authentication remains unchanged after successful login. This means an attacker can set a known session token (e.g., via a crafted URL or injected cookie) and wait for the victim to authenticate, at which point the attacker can use the same session token to access the victim's authenticated session.
In a financial institution context, this vulnerability could be exploited to hijack customer sessions after they log in, granting the attacker full access to the victim's banking functionality, account details, and transaction capabilities.</t>
  </si>
  <si>
    <t>CWE-384 — TO.02 — Session Fixation</t>
  </si>
  <si>
    <t>This is a new finding.
During the assessment, the application was found to be vulnerable to DOM-Based Cross-Site Scripting (XSS). The tester identified that client-side JavaScript code reads user-supplied input from a source (e.g., location.hash, document.URL, window.name) and writes it to a dangerous sink (e.g., document.write, innerHTML, eval) without proper sanitization. This allows the injection and execution of arbitrary JavaScript entirely on the client side, without the payload being sent to or reflected from the server.
In a financial institution context, DOM-Based XSS can be exploited to steal session tokens, capture user credentials, perform unauthorized actions on behalf of the victim, or redirect users to phishing pages. As the payload may not appear in server-side logs, this type of XSS can be particularly difficult to detect and monitor.</t>
  </si>
  <si>
    <t>CWE-79 — TO.04 — DOM-Based XSS</t>
  </si>
  <si>
    <t>v1.337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</si>
</sst>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0" x14ac:knownFonts="1">
    <font>
      <sz val="11"/>
      <color theme="1"/>
      <name val="Calibri"/>
      <family val="2"/>
      <scheme val="minor"/>
    </font>
    <font>
      <b/>
      <sz val="11"/>
      <color rgb="FFFFFFFF"/>
      <name val="Arial"/>
    </font>
    <font>
      <sz val="10"/>
      <color rgb="FF2C3E50"/>
      <name val="Arial"/>
    </font>
    <font>
      <b/>
      <sz val="16"/>
      <color rgb="FFFFFFFF"/>
      <name val="Arial"/>
    </font>
    <font>
      <sz val="10"/>
      <color rgb="FFBDC3C7"/>
      <name val="Arial"/>
    </font>
    <font>
      <b/>
      <sz val="11"/>
      <color rgb="FF2C3E50"/>
      <name val="Arial"/>
    </font>
    <font>
      <b/>
      <sz val="12"/>
      <color rgb="FFE74C3C"/>
      <name val="Arial"/>
    </font>
    <font>
      <b/>
      <sz val="10"/>
      <color rgb="FFFFFFFF"/>
      <name val="Arial"/>
    </font>
    <font>
      <b/>
      <sz val="14"/>
      <color rgb="FFE74C3C"/>
      <name val="Arial"/>
    </font>
    <font>
      <sz val="11"/>
      <color rgb="FF2C3E50"/>
      <name val="Arial"/>
    </font>
    <font>
      <sz val="11"/>
      <color rgb="FF27AE60"/>
      <name val="Arial"/>
    </font>
    <font>
      <b/>
      <sz val="14"/>
      <color rgb="FF27AE60"/>
      <name val="Arial"/>
    </font>
    <font>
      <b/>
      <sz val="14"/>
      <color rgb="FF3498DB"/>
      <name val="Arial"/>
    </font>
    <font>
      <b/>
      <sz val="14"/>
      <color rgb="FFF39C12"/>
      <name val="Arial"/>
    </font>
    <font>
      <sz val="10"/>
      <color rgb="FF2C3E50"/>
      <name val="Arial"/>
      <family val="2"/>
    </font>
    <font>
      <sz val="10"/>
      <color rgb="FF2980B9"/>
      <name val="Arial"/>
      <family val="2"/>
    </font>
    <font>
      <b/>
      <sz val="10"/>
      <color rgb="FF2C3E50"/>
      <name val="Arial"/>
      <family val="2"/>
    </font>
    <font>
      <b/>
      <sz val="10"/>
      <color rgb="FF000000"/>
      <name val="Calibri"/>
      <family val="2"/>
    </font>
    <font>
      <b/>
      <sz val="10"/>
      <color rgb="FFF39C12"/>
      <name val="Arial"/>
      <family val="2"/>
    </font>
    <font>
      <b/>
      <sz val="14"/>
      <color rgb="FFE74C3C"/>
      <name val="Arial"/>
      <family val="2"/>
    </font>
  </fonts>
  <fills count="8">
    <fill>
      <patternFill patternType="none"/>
    </fill>
    <fill>
      <patternFill patternType="gray125"/>
    </fill>
    <fill>
      <patternFill patternType="solid">
        <fgColor rgb="FF1B2A4A"/>
      </patternFill>
    </fill>
    <fill>
      <patternFill patternType="solid">
        <fgColor rgb="FFF2F4F7"/>
      </patternFill>
    </fill>
    <fill>
      <patternFill patternType="solid">
        <fgColor rgb="FFFDEBD0"/>
      </patternFill>
    </fill>
    <fill>
      <patternFill patternType="solid">
        <fgColor rgb="FFFEF9E7"/>
      </patternFill>
    </fill>
    <fill>
      <patternFill patternType="solid">
        <fgColor rgb="FFFFFFFF"/>
      </patternFill>
    </fill>
    <fill>
      <patternFill patternType="solid">
        <fgColor rgb="FFF2F4F7"/>
        <bgColor indexed="64"/>
      </patternFill>
    </fill>
  </fills>
  <borders count="14">
    <border>
      <left/>
      <right/>
      <top/>
      <bottom/>
      <diagonal/>
    </border>
    <border>
      <left style="thin">
        <color rgb="FFD5D8DC"/>
      </left>
      <right style="thin">
        <color rgb="FFD5D8DC"/>
      </right>
      <top style="thin">
        <color rgb="FFD5D8DC"/>
      </top>
      <bottom style="thin">
        <color rgb="FFD5D8DC"/>
      </bottom>
      <diagonal/>
    </border>
    <border>
      <left style="medium">
        <color rgb="FFF39C12"/>
      </left>
      <right style="medium">
        <color rgb="FFF39C12"/>
      </right>
      <top style="medium">
        <color rgb="FFF39C12"/>
      </top>
      <bottom style="medium">
        <color rgb="FFF39C12"/>
      </bottom>
      <diagonal/>
    </border>
    <border>
      <left/>
      <right/>
      <top style="thin">
        <color rgb="FFD5D8DC"/>
      </top>
      <bottom/>
      <diagonal/>
    </border>
    <border>
      <left style="thin">
        <color rgb="FFD5D8DC"/>
      </left>
      <right/>
      <top/>
      <bottom/>
      <diagonal/>
    </border>
    <border>
      <left/>
      <right style="thin">
        <color rgb="FFD5D8DC"/>
      </right>
      <top style="thin">
        <color rgb="FFD5D8DC"/>
      </top>
      <bottom/>
      <diagonal/>
    </border>
    <border>
      <left/>
      <right style="thin">
        <color rgb="FFD5D8DC"/>
      </right>
      <top/>
      <bottom/>
      <diagonal/>
    </border>
    <border>
      <left style="thin">
        <color rgb="FFD5D8DC"/>
      </left>
      <right/>
      <top/>
      <bottom style="thin">
        <color rgb="FFD5D8DC"/>
      </bottom>
      <diagonal/>
    </border>
    <border>
      <left/>
      <right/>
      <top/>
      <bottom style="thin">
        <color rgb="FFD5D8DC"/>
      </bottom>
      <diagonal/>
    </border>
    <border>
      <left/>
      <right style="thin">
        <color rgb="FFD5D8DC"/>
      </right>
      <top/>
      <bottom style="thin">
        <color rgb="FFD5D8DC"/>
      </bottom>
      <diagonal/>
    </border>
    <border>
      <left/>
      <right/>
      <top style="medium">
        <color rgb="FFF39C12"/>
      </top>
      <bottom style="medium">
        <color rgb="FFF39C12"/>
      </bottom>
      <diagonal/>
    </border>
    <border>
      <left/>
      <right style="medium">
        <color rgb="FFF39C12"/>
      </right>
      <top style="medium">
        <color rgb="FFF39C12"/>
      </top>
      <bottom style="medium">
        <color rgb="FFF39C12"/>
      </bottom>
      <diagonal/>
    </border>
    <border>
      <left/>
      <right/>
      <top style="thin">
        <color rgb="FFD5D8DC"/>
      </top>
      <bottom style="thin">
        <color rgb="FFD5D8DC"/>
      </bottom>
      <diagonal/>
    </border>
    <border>
      <left/>
      <right style="thin">
        <color rgb="FFD5D8DC"/>
      </right>
      <top style="thin">
        <color rgb="FFD5D8DC"/>
      </top>
      <bottom style="thin">
        <color rgb="FFD5D8DC"/>
      </bottom>
      <diagonal/>
    </border>
  </borders>
  <cellStyleXfs count="1">
    <xf numFmtId="0" fontId="0" fillId="0" borderId="0"/>
  </cellStyleXfs>
  <cellXfs count="50">
    <xf numFmtId="0" fontId="0" fillId="0" borderId="0" xfId="0"/>
    <xf numFmtId="0" fontId="0" fillId="2" borderId="0" xfId="0" applyFill="1"/>
    <xf numFmtId="0" fontId="5" fillId="0" borderId="0" xfId="0" applyFont="1"/>
    <xf numFmtId="0" fontId="2" fillId="5" borderId="2" xfId="0" applyFont="1" applyFill="1" applyBorder="1"/>
    <xf numFmtId="0" fontId="1" fillId="2" borderId="1" xfId="0" applyFont="1" applyFill="1" applyBorder="1" applyAlignment="1">
      <alignment horizontal="center" vertical="center" wrapText="1"/>
    </xf>
    <xf numFmtId="0" fontId="2" fillId="3" borderId="1" xfId="0" applyFont="1" applyFill="1" applyBorder="1" applyAlignment="1">
      <alignment vertical="top" wrapText="1"/>
    </xf>
    <xf numFmtId="0" fontId="2" fillId="0" borderId="1" xfId="0" applyFont="1" applyBorder="1" applyAlignment="1">
      <alignment vertical="top" wrapText="1"/>
    </xf>
    <xf numFmtId="0" fontId="3" fillId="2" borderId="0" xfId="0" applyFont="1" applyFill="1" applyAlignment="1">
      <alignment vertical="center" wrapText="1"/>
    </xf>
    <xf numFmtId="0" fontId="2" fillId="0" borderId="0" xfId="0" applyFont="1" applyAlignment="1">
      <alignment vertical="center" wrapText="1"/>
    </xf>
    <xf numFmtId="0" fontId="8" fillId="0" borderId="0" xfId="0" applyFont="1" applyAlignment="1">
      <alignment vertical="center" wrapText="1"/>
    </xf>
    <xf numFmtId="0" fontId="9" fillId="0" borderId="0" xfId="0" applyFont="1" applyAlignment="1">
      <alignment vertical="center" wrapText="1"/>
    </xf>
    <xf numFmtId="0" fontId="10" fillId="0" borderId="0" xfId="0" applyFont="1" applyAlignment="1">
      <alignment vertical="center" wrapText="1"/>
    </xf>
    <xf numFmtId="0" fontId="11" fillId="0" borderId="0" xfId="0" applyFont="1" applyAlignment="1">
      <alignment vertical="center" wrapText="1"/>
    </xf>
    <xf numFmtId="0" fontId="12" fillId="0" borderId="0" xfId="0" applyFont="1" applyAlignment="1">
      <alignment vertical="center" wrapText="1"/>
    </xf>
    <xf numFmtId="0" fontId="13" fillId="0" borderId="0" xfId="0" applyFont="1" applyAlignment="1">
      <alignment vertical="center" wrapText="1"/>
    </xf>
    <xf numFmtId="0" fontId="14" fillId="7" borderId="1" xfId="0" applyFont="1" applyFill="1" applyBorder="1" applyAlignment="1">
      <alignment vertical="top" wrapText="1"/>
    </xf>
    <xf numFmtId="164" fontId="15" fillId="7" borderId="1" xfId="0" applyNumberFormat="1" applyFont="1" applyFill="1" applyBorder="1" applyAlignment="1">
      <alignment vertical="top" wrapText="1"/>
    </xf>
    <xf numFmtId="0" fontId="14" fillId="3" borderId="1" xfId="0" applyFont="1" applyFill="1" applyBorder="1" applyAlignment="1">
      <alignment vertical="top" wrapText="1"/>
    </xf>
    <xf numFmtId="0" fontId="7" fillId="0" borderId="0" xfId="0" applyFont="1" applyAlignment="1">
      <alignment horizontal="center" vertical="center"/>
    </xf>
    <xf numFmtId="0" fontId="16" fillId="7" borderId="1" xfId="0" applyFont="1" applyFill="1" applyBorder="1" applyAlignment="1">
      <alignment vertical="top" wrapText="1"/>
    </xf>
    <xf numFmtId="15" fontId="8" fillId="0" borderId="0" xfId="0" applyNumberFormat="1" applyFont="1" applyAlignment="1">
      <alignment vertical="center" wrapText="1"/>
    </xf>
    <xf numFmtId="0" fontId="3" fillId="2" borderId="0" xfId="0" applyFont="1" applyFill="1" applyAlignment="1">
      <alignment horizontal="center" vertical="center"/>
    </xf>
    <xf numFmtId="0" fontId="0" fillId="0" borderId="0" xfId="0"/>
    <xf numFmtId="0" fontId="14" fillId="6" borderId="1" xfId="0" applyFont="1" applyFill="1" applyBorder="1" applyAlignment="1">
      <alignment horizontal="left" vertical="top" wrapText="1"/>
    </xf>
    <xf numFmtId="0" fontId="0" fillId="0" borderId="3" xfId="0" applyBorder="1"/>
    <xf numFmtId="0" fontId="0" fillId="0" borderId="5" xfId="0" applyBorder="1"/>
    <xf numFmtId="0" fontId="0" fillId="0" borderId="4" xfId="0" applyBorder="1"/>
    <xf numFmtId="0" fontId="0" fillId="0" borderId="6" xfId="0" applyBorder="1"/>
    <xf numFmtId="0" fontId="0" fillId="0" borderId="7" xfId="0" applyBorder="1"/>
    <xf numFmtId="0" fontId="0" fillId="0" borderId="8" xfId="0" applyBorder="1"/>
    <xf numFmtId="0" fontId="0" fillId="0" borderId="9" xfId="0" applyBorder="1"/>
    <xf numFmtId="0" fontId="1" fillId="2" borderId="1" xfId="0" applyFont="1" applyFill="1" applyBorder="1" applyAlignment="1">
      <alignment horizontal="left" vertical="center"/>
    </xf>
    <xf numFmtId="0" fontId="0" fillId="0" borderId="12" xfId="0" applyBorder="1"/>
    <xf numFmtId="0" fontId="0" fillId="0" borderId="13" xfId="0" applyBorder="1"/>
    <xf numFmtId="0" fontId="0" fillId="0" borderId="11" xfId="0" applyBorder="1"/>
    <xf numFmtId="0" fontId="2" fillId="4" borderId="2" xfId="0" applyFont="1" applyFill="1" applyBorder="1" applyAlignment="1">
      <alignment horizontal="left" vertical="center"/>
    </xf>
    <xf numFmtId="0" fontId="0" fillId="0" borderId="10" xfId="0" applyBorder="1"/>
    <xf numFmtId="0" fontId="4" fillId="2" borderId="0" xfId="0" applyFont="1" applyFill="1" applyAlignment="1">
      <alignment horizontal="center" vertical="center"/>
    </xf>
    <xf numFmtId="0" fontId="14" fillId="5" borderId="2" xfId="0" applyFont="1" applyFill="1" applyBorder="1"/>
    <xf numFmtId="0" fontId="14" fillId="0" borderId="1" xfId="0" applyFont="1" applyFill="1" applyBorder="1" applyAlignment="1">
      <alignment vertical="top" wrapText="1"/>
    </xf>
    <xf numFmtId="0" fontId="16" fillId="0" borderId="1" xfId="0" applyFont="1" applyFill="1" applyBorder="1" applyAlignment="1">
      <alignment vertical="top" wrapText="1"/>
    </xf>
    <xf numFmtId="15" fontId="0" fillId="0" borderId="0" xfId="0" applyNumberFormat="1"/>
    <xf numFmtId="164" fontId="18" fillId="7" borderId="1" xfId="0" applyNumberFormat="1" applyFont="1" applyFill="1" applyBorder="1" applyAlignment="1">
      <alignment vertical="top" wrapText="1"/>
    </xf>
    <xf numFmtId="164" fontId="15" fillId="0" borderId="1" xfId="0" applyNumberFormat="1" applyFont="1" applyFill="1" applyBorder="1" applyAlignment="1">
      <alignment vertical="top" wrapText="1"/>
    </xf>
    <xf numFmtId="164" fontId="6" fillId="5" borderId="2" xfId="0" applyNumberFormat="1" applyFont="1" applyFill="1" applyBorder="1" applyAlignment="1">
      <alignment horizontal="left"/>
    </xf>
    <xf numFmtId="0" fontId="0" fillId="0" borderId="11" xfId="0" applyBorder="1" applyAlignment="1">
      <alignment horizontal="left"/>
    </xf>
    <xf numFmtId="0" fontId="14" fillId="5" borderId="2" xfId="0" applyFont="1" applyFill="1" applyBorder="1" applyAlignment="1"/>
    <xf numFmtId="164" fontId="18" fillId="0" borderId="1" xfId="0" applyNumberFormat="1" applyFont="1" applyFill="1" applyBorder="1" applyAlignment="1">
      <alignment vertical="top" wrapText="1"/>
    </xf>
    <xf numFmtId="0" fontId="2" fillId="5" borderId="2" xfId="0" applyFont="1" applyFill="1" applyBorder="1" applyAlignment="1">
      <alignment vertical="center"/>
    </xf>
    <xf numFmtId="0" fontId="19" fillId="0" borderId="0" xfId="0" applyFont="1" applyAlignment="1">
      <alignment vertical="center" wrapText="1"/>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198120</xdr:colOff>
          <xdr:row>9</xdr:row>
          <xdr:rowOff>304800</xdr:rowOff>
        </xdr:from>
        <xdr:to>
          <xdr:col>3</xdr:col>
          <xdr:colOff>0</xdr:colOff>
          <xdr:row>10</xdr:row>
          <xdr:rowOff>373380</xdr:rowOff>
        </xdr:to>
        <xdr:sp macro="" textlink="">
          <xdr:nvSpPr>
            <xdr:cNvPr id="1030" name="btnGenerate"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000" b="1" i="0" u="none" strike="noStrike" baseline="0">
                  <a:solidFill>
                    <a:srgbClr val="000000"/>
                  </a:solidFill>
                  <a:latin typeface="Calibri"/>
                  <a:ea typeface="Calibri"/>
                  <a:cs typeface="Calibri"/>
                </a:rPr>
                <a:t>GENERATE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304800</xdr:rowOff>
        </xdr:from>
        <xdr:to>
          <xdr:col>4</xdr:col>
          <xdr:colOff>3337560</xdr:colOff>
          <xdr:row>10</xdr:row>
          <xdr:rowOff>373380</xdr:rowOff>
        </xdr:to>
        <xdr:sp macro="" textlink="">
          <xdr:nvSpPr>
            <xdr:cNvPr id="1031" name="btnCopy"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000" b="1" i="0" u="none" strike="noStrike" baseline="0">
                  <a:solidFill>
                    <a:srgbClr val="000000"/>
                  </a:solidFill>
                  <a:latin typeface="Calibri"/>
                  <a:ea typeface="Calibri"/>
                  <a:cs typeface="Calibri"/>
                </a:rPr>
                <a:t>COPY TO CLIPBOARD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3337560</xdr:colOff>
          <xdr:row>9</xdr:row>
          <xdr:rowOff>304800</xdr:rowOff>
        </xdr:from>
        <xdr:to>
          <xdr:col>6</xdr:col>
          <xdr:colOff>1219200</xdr:colOff>
          <xdr:row>10</xdr:row>
          <xdr:rowOff>373380</xdr:rowOff>
        </xdr:to>
        <xdr:sp macro="" textlink="">
          <xdr:nvSpPr>
            <xdr:cNvPr id="1032" name="btnAddReport"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000" b="1" i="0" u="none" strike="noStrike" baseline="0">
                  <a:solidFill>
                    <a:srgbClr val="000000"/>
                  </a:solidFill>
                  <a:latin typeface="Calibri"/>
                  <a:ea typeface="Calibri"/>
                  <a:cs typeface="Calibri"/>
                </a:rPr>
                <a:t>ADD TO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9</xdr:row>
          <xdr:rowOff>304800</xdr:rowOff>
        </xdr:from>
        <xdr:to>
          <xdr:col>9</xdr:col>
          <xdr:colOff>0</xdr:colOff>
          <xdr:row>10</xdr:row>
          <xdr:rowOff>373380</xdr:rowOff>
        </xdr:to>
        <xdr:sp macro="" textlink="">
          <xdr:nvSpPr>
            <xdr:cNvPr id="1033" name="btnReset"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000" b="1" i="0" u="none" strike="noStrike" baseline="0">
                  <a:solidFill>
                    <a:srgbClr val="000000"/>
                  </a:solidFill>
                  <a:latin typeface="Calibri"/>
                  <a:ea typeface="Calibri"/>
                  <a:cs typeface="Calibri"/>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129540</xdr:colOff>
          <xdr:row>0</xdr:row>
          <xdr:rowOff>0</xdr:rowOff>
        </xdr:from>
        <xdr:to>
          <xdr:col>10</xdr:col>
          <xdr:colOff>2034540</xdr:colOff>
          <xdr:row>0</xdr:row>
          <xdr:rowOff>312420</xdr:rowOff>
        </xdr:to>
        <xdr:sp macro="" textlink="">
          <xdr:nvSpPr>
            <xdr:cNvPr id="2050" name="btnClearReport"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000" b="1" i="0" u="none" strike="noStrike" baseline="0">
                  <a:solidFill>
                    <a:srgbClr val="000000"/>
                  </a:solidFill>
                  <a:latin typeface="Calibri"/>
                  <a:ea typeface="Calibri"/>
                  <a:cs typeface="Calibri"/>
                </a:rPr>
                <a:t>CLEAR ALL FINDINGS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2164080</xdr:colOff>
          <xdr:row>0</xdr:row>
          <xdr:rowOff>0</xdr:rowOff>
        </xdr:from>
        <xdr:to>
          <xdr:col>11</xdr:col>
          <xdr:colOff>297180</xdr:colOff>
          <xdr:row>0</xdr:row>
          <xdr:rowOff>312420</xdr:rowOff>
        </xdr:to>
        <xdr:sp macro="" textlink="">
          <xdr:nvSpPr>
            <xdr:cNvPr id="2051" name="btnExportWord"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000" b="1" i="0" u="none" strike="noStrike" baseline="0">
                  <a:solidFill>
                    <a:srgbClr val="000000"/>
                  </a:solidFill>
                  <a:latin typeface="Calibri"/>
                  <a:ea typeface="Calibri"/>
                  <a:cs typeface="Calibri"/>
                </a:rPr>
                <a:t>EXPORT TO WORD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B59B6"/>
  </sheetPr>
  <dimension ref="A1:C42"/>
  <sheetViews>
    <sheetView tabSelected="1" topLeftCell="A22" workbookViewId="0"/>
  </sheetViews>
  <sheetFormatPr defaultRowHeight="14.4" x14ac:dyDescent="0.3"/>
  <cols>
    <col min="1" max="1" width="3" customWidth="1"/>
    <col min="2" max="2" width="110" customWidth="1"/>
    <col min="3" max="3" width="3" customWidth="1"/>
  </cols>
  <sheetData>
    <row r="1" spans="1:3" ht="40.049999999999997" customHeight="1" x14ac:dyDescent="0.3">
      <c r="A1" s="1"/>
      <c r="B1" s="7" t="s">
        <v>0</v>
      </c>
      <c r="C1" s="1"/>
    </row>
    <row r="2" spans="1:3" ht="10.050000000000001" customHeight="1" x14ac:dyDescent="0.3">
      <c r="B2" s="8"/>
    </row>
    <row r="3" spans="1:3" ht="30" customHeight="1" x14ac:dyDescent="0.3">
      <c r="B3" s="9" t="s">
        <v>1</v>
      </c>
    </row>
    <row r="4" spans="1:3" ht="7.95" customHeight="1" x14ac:dyDescent="0.3">
      <c r="B4" s="8"/>
    </row>
    <row r="5" spans="1:3" ht="22.05" customHeight="1" x14ac:dyDescent="0.3">
      <c r="B5" s="10" t="s">
        <v>2</v>
      </c>
    </row>
    <row r="6" spans="1:3" ht="22.05" customHeight="1" x14ac:dyDescent="0.3">
      <c r="B6" s="10" t="s">
        <v>3</v>
      </c>
    </row>
    <row r="7" spans="1:3" ht="22.05" customHeight="1" x14ac:dyDescent="0.3">
      <c r="B7" s="10" t="s">
        <v>4</v>
      </c>
    </row>
    <row r="8" spans="1:3" ht="22.05" customHeight="1" x14ac:dyDescent="0.3">
      <c r="B8" s="10" t="s">
        <v>5</v>
      </c>
    </row>
    <row r="9" spans="1:3" ht="22.05" customHeight="1" x14ac:dyDescent="0.3">
      <c r="B9" s="10" t="s">
        <v>6</v>
      </c>
    </row>
    <row r="10" spans="1:3" ht="7.95" customHeight="1" x14ac:dyDescent="0.3">
      <c r="B10" s="8"/>
    </row>
    <row r="11" spans="1:3" ht="22.05" customHeight="1" x14ac:dyDescent="0.3">
      <c r="B11" s="11" t="s">
        <v>7</v>
      </c>
    </row>
    <row r="12" spans="1:3" ht="22.05" customHeight="1" x14ac:dyDescent="0.3">
      <c r="B12" s="11" t="s">
        <v>8</v>
      </c>
    </row>
    <row r="13" spans="1:3" ht="22.05" customHeight="1" x14ac:dyDescent="0.3">
      <c r="B13" s="11" t="s">
        <v>9</v>
      </c>
    </row>
    <row r="14" spans="1:3" ht="10.050000000000001" customHeight="1" x14ac:dyDescent="0.3">
      <c r="B14" s="8"/>
    </row>
    <row r="15" spans="1:3" ht="30" customHeight="1" x14ac:dyDescent="0.3">
      <c r="B15" s="12" t="s">
        <v>10</v>
      </c>
    </row>
    <row r="16" spans="1:3" ht="7.95" customHeight="1" x14ac:dyDescent="0.3">
      <c r="B16" s="8"/>
    </row>
    <row r="17" spans="2:2" ht="22.05" customHeight="1" x14ac:dyDescent="0.3">
      <c r="B17" s="10" t="s">
        <v>11</v>
      </c>
    </row>
    <row r="18" spans="2:2" ht="22.05" customHeight="1" x14ac:dyDescent="0.3">
      <c r="B18" s="10" t="s">
        <v>12</v>
      </c>
    </row>
    <row r="19" spans="2:2" ht="22.05" customHeight="1" x14ac:dyDescent="0.3">
      <c r="B19" s="10" t="s">
        <v>13</v>
      </c>
    </row>
    <row r="20" spans="2:2" ht="22.05" customHeight="1" x14ac:dyDescent="0.3">
      <c r="B20" s="10" t="s">
        <v>14</v>
      </c>
    </row>
    <row r="21" spans="2:2" ht="22.05" customHeight="1" x14ac:dyDescent="0.3">
      <c r="B21" s="10" t="s">
        <v>15</v>
      </c>
    </row>
    <row r="22" spans="2:2" ht="22.05" customHeight="1" x14ac:dyDescent="0.3">
      <c r="B22" s="10" t="s">
        <v>16</v>
      </c>
    </row>
    <row r="23" spans="2:2" ht="22.05" customHeight="1" x14ac:dyDescent="0.3">
      <c r="B23" s="10" t="s">
        <v>17</v>
      </c>
    </row>
    <row r="24" spans="2:2" ht="22.05" customHeight="1" x14ac:dyDescent="0.3">
      <c r="B24" s="10" t="s">
        <v>18</v>
      </c>
    </row>
    <row r="25" spans="2:2" ht="22.05" customHeight="1" x14ac:dyDescent="0.3">
      <c r="B25" s="10" t="s">
        <v>19</v>
      </c>
    </row>
    <row r="26" spans="2:2" ht="22.05" customHeight="1" x14ac:dyDescent="0.3">
      <c r="B26" s="10" t="s">
        <v>20</v>
      </c>
    </row>
    <row r="27" spans="2:2" ht="10.050000000000001" customHeight="1" x14ac:dyDescent="0.3">
      <c r="B27" s="8"/>
    </row>
    <row r="28" spans="2:2" ht="30" customHeight="1" x14ac:dyDescent="0.3">
      <c r="B28" s="13" t="s">
        <v>21</v>
      </c>
    </row>
    <row r="29" spans="2:2" ht="7.95" customHeight="1" x14ac:dyDescent="0.3">
      <c r="B29" s="8"/>
    </row>
    <row r="30" spans="2:2" ht="22.05" customHeight="1" x14ac:dyDescent="0.3">
      <c r="B30" s="10" t="s">
        <v>22</v>
      </c>
    </row>
    <row r="31" spans="2:2" ht="22.05" customHeight="1" x14ac:dyDescent="0.3">
      <c r="B31" s="10" t="s">
        <v>23</v>
      </c>
    </row>
    <row r="32" spans="2:2" ht="22.05" customHeight="1" x14ac:dyDescent="0.3">
      <c r="B32" s="10" t="s">
        <v>24</v>
      </c>
    </row>
    <row r="33" spans="2:2" ht="10.050000000000001" customHeight="1" x14ac:dyDescent="0.3">
      <c r="B33" s="8"/>
    </row>
    <row r="34" spans="2:2" ht="30" customHeight="1" x14ac:dyDescent="0.3">
      <c r="B34" s="14" t="s">
        <v>25</v>
      </c>
    </row>
    <row r="35" spans="2:2" ht="7.95" customHeight="1" x14ac:dyDescent="0.3">
      <c r="B35" s="8"/>
    </row>
    <row r="36" spans="2:2" ht="22.05" customHeight="1" x14ac:dyDescent="0.3">
      <c r="B36" s="10" t="s">
        <v>26</v>
      </c>
    </row>
    <row r="37" spans="2:2" ht="22.05" customHeight="1" x14ac:dyDescent="0.3">
      <c r="B37" s="10" t="s">
        <v>27</v>
      </c>
    </row>
    <row r="38" spans="2:2" ht="22.05" customHeight="1" x14ac:dyDescent="0.3">
      <c r="B38" s="10" t="s">
        <v>28</v>
      </c>
    </row>
    <row r="39" spans="2:2" ht="22.05" customHeight="1" x14ac:dyDescent="0.3">
      <c r="B39" s="10" t="s">
        <v>29</v>
      </c>
    </row>
    <row r="40" spans="2:2" ht="22.05" customHeight="1" x14ac:dyDescent="0.3">
      <c r="B40" s="10" t="s">
        <v>30</v>
      </c>
    </row>
    <row r="41" spans="2:2" ht="22.05" customHeight="1" x14ac:dyDescent="0.3">
      <c r="B41" s="10" t="s">
        <v>31</v>
      </c>
    </row>
    <row r="42" spans="2:2" ht="22.05" customHeight="1" x14ac:dyDescent="0.3">
      <c r="B42" s="10" t="s">
        <v>32</v>
      </c>
    </row>
  </sheetData>
  <pageMargins left="0.75" right="0.75" top="1" bottom="1" header="0.5" footer="0.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E74C3C"/>
  </sheetPr>
  <dimension ref="A1:Q43"/>
  <sheetViews>
    <sheetView zoomScaleNormal="100" workbookViewId="0">
      <selection activeCell="L7" sqref="L7"/>
    </sheetView>
  </sheetViews>
  <sheetFormatPr defaultRowHeight="14.4" x14ac:dyDescent="0.3"/>
  <cols>
    <col min="1" max="1" width="3" customWidth="1"/>
    <col min="2" max="2" width="22" customWidth="1"/>
    <col min="3" max="4" width="20" customWidth="1"/>
    <col min="5" max="5" width="48.77734375" customWidth="1"/>
    <col min="6" max="8" width="18" customWidth="1"/>
    <col min="9" max="9" width="13.33203125" customWidth="1"/>
    <col min="10" max="10" width="3" customWidth="1"/>
    <col min="11" max="11" width="14" customWidth="1"/>
    <col min="12" max="12" width="17.21875" bestFit="1" customWidth="1"/>
    <col min="13" max="13" width="10.88671875" customWidth="1"/>
    <col min="14" max="14" width="13.6640625" customWidth="1"/>
    <col min="15" max="15" width="12.109375" bestFit="1" customWidth="1"/>
    <col min="16" max="16" width="13.44140625" bestFit="1" customWidth="1"/>
    <col min="17" max="17" width="13.109375" customWidth="1"/>
    <col min="18" max="18" width="9.5546875" bestFit="1" customWidth="1"/>
    <col min="19" max="19" width="11.6640625" customWidth="1"/>
  </cols>
  <sheetData>
    <row r="1" spans="1:17" ht="34.950000000000003" customHeight="1" thickBot="1" x14ac:dyDescent="0.35">
      <c r="A1" s="1"/>
      <c r="B1" s="21" t="s">
        <v>33</v>
      </c>
      <c r="C1" s="22"/>
      <c r="D1" s="22"/>
      <c r="E1" s="22"/>
      <c r="F1" s="22"/>
      <c r="G1" s="22"/>
      <c r="H1" s="22"/>
      <c r="I1" s="22"/>
      <c r="L1" s="48" t="s">
        <v>412</v>
      </c>
      <c r="M1" s="49" t="s">
        <v>428</v>
      </c>
      <c r="O1" s="48" t="s">
        <v>413</v>
      </c>
      <c r="P1" s="20">
        <v>46095</v>
      </c>
    </row>
    <row r="2" spans="1:17" ht="36.6" customHeight="1" x14ac:dyDescent="0.3">
      <c r="A2" s="1"/>
      <c r="B2" s="37" t="s">
        <v>34</v>
      </c>
      <c r="C2" s="22"/>
      <c r="D2" s="22"/>
      <c r="E2" s="22"/>
      <c r="F2" s="22"/>
      <c r="G2" s="22"/>
      <c r="H2" s="22"/>
      <c r="I2" s="22"/>
      <c r="L2" s="4" t="s">
        <v>406</v>
      </c>
      <c r="M2" s="4">
        <f>COUNTA('Report Compilation'!A2:A985)</f>
        <v>4</v>
      </c>
      <c r="N2" s="4" t="s">
        <v>407</v>
      </c>
      <c r="O2" s="4">
        <f>COUNTIFS('Report Compilation'!B2:B985,"&gt;=9")</f>
        <v>0</v>
      </c>
      <c r="P2" s="4" t="s">
        <v>408</v>
      </c>
      <c r="Q2" s="4">
        <f>COUNTIFS('Report Compilation'!B2:B985,"&gt;=7",'Report Compilation'!B2:B985,"&lt;9")</f>
        <v>2</v>
      </c>
    </row>
    <row r="3" spans="1:17" ht="36" customHeight="1" x14ac:dyDescent="0.3">
      <c r="A3" s="1"/>
      <c r="B3" s="1"/>
      <c r="C3" s="1"/>
      <c r="D3" s="1"/>
      <c r="E3" s="1"/>
      <c r="F3" s="1"/>
      <c r="G3" s="1"/>
      <c r="H3" s="1"/>
      <c r="I3" s="1"/>
      <c r="L3" s="4" t="s">
        <v>409</v>
      </c>
      <c r="M3" s="4">
        <f>COUNTIFS('Report Compilation'!B2:B985,"&gt;=4",'Report Compilation'!B2:B985,"&lt;7")</f>
        <v>2</v>
      </c>
      <c r="N3" s="4" t="s">
        <v>410</v>
      </c>
      <c r="O3" s="4">
        <f>COUNTIFS('Report Compilation'!B2:B985,"&gt;=0.1",'Report Compilation'!B2:B985,"&lt;4")</f>
        <v>0</v>
      </c>
      <c r="P3" s="4" t="s">
        <v>411</v>
      </c>
      <c r="Q3" s="4">
        <f>COUNTIFS('Report Compilation'!B2:B985,"=0")</f>
        <v>0</v>
      </c>
    </row>
    <row r="4" spans="1:17" ht="30" customHeight="1" thickBot="1" x14ac:dyDescent="0.35"/>
    <row r="5" spans="1:17" ht="25.05" customHeight="1" thickBot="1" x14ac:dyDescent="0.35">
      <c r="B5" s="2" t="s">
        <v>35</v>
      </c>
      <c r="C5" s="35" t="s">
        <v>169</v>
      </c>
      <c r="D5" s="36"/>
      <c r="E5" s="34"/>
    </row>
    <row r="6" spans="1:17" ht="25.05" customHeight="1" thickBot="1" x14ac:dyDescent="0.35">
      <c r="B6" s="2" t="s">
        <v>36</v>
      </c>
      <c r="C6" s="35" t="s">
        <v>175</v>
      </c>
      <c r="D6" s="36"/>
      <c r="E6" s="34"/>
    </row>
    <row r="7" spans="1:17" ht="25.05" customHeight="1" thickBot="1" x14ac:dyDescent="0.35">
      <c r="B7" s="2" t="s">
        <v>37</v>
      </c>
      <c r="C7" s="38" t="s">
        <v>423</v>
      </c>
      <c r="D7" s="36"/>
      <c r="E7" s="34"/>
    </row>
    <row r="8" spans="1:17" ht="25.05" customHeight="1" thickBot="1" x14ac:dyDescent="0.35">
      <c r="B8" s="2" t="s">
        <v>38</v>
      </c>
      <c r="C8" s="44">
        <v>6.6</v>
      </c>
      <c r="D8" s="45"/>
    </row>
    <row r="9" spans="1:17" ht="25.05" customHeight="1" thickBot="1" x14ac:dyDescent="0.35">
      <c r="B9" s="2" t="s">
        <v>39</v>
      </c>
      <c r="C9" s="3" t="s">
        <v>418</v>
      </c>
      <c r="D9" s="2" t="s">
        <v>40</v>
      </c>
      <c r="E9" s="46"/>
    </row>
    <row r="10" spans="1:17" ht="24.6" customHeight="1" thickBot="1" x14ac:dyDescent="0.35">
      <c r="B10" s="3" t="s">
        <v>404</v>
      </c>
      <c r="C10" s="9" t="s">
        <v>369</v>
      </c>
    </row>
    <row r="11" spans="1:17" ht="30" customHeight="1" x14ac:dyDescent="0.3">
      <c r="B11" s="18"/>
      <c r="D11" s="18"/>
      <c r="F11" s="18"/>
      <c r="H11" s="18"/>
    </row>
    <row r="13" spans="1:17" x14ac:dyDescent="0.3">
      <c r="B13" s="31" t="s">
        <v>41</v>
      </c>
      <c r="C13" s="32"/>
      <c r="D13" s="32"/>
      <c r="E13" s="32"/>
      <c r="F13" s="32"/>
      <c r="G13" s="32"/>
      <c r="H13" s="32"/>
      <c r="I13" s="33"/>
    </row>
    <row r="14" spans="1:17" ht="22.05" customHeight="1" x14ac:dyDescent="0.3">
      <c r="B14" s="23" t="s">
        <v>176</v>
      </c>
      <c r="C14" s="24"/>
      <c r="D14" s="24"/>
      <c r="E14" s="24"/>
      <c r="F14" s="24"/>
      <c r="G14" s="24"/>
      <c r="H14" s="24"/>
      <c r="I14" s="25"/>
    </row>
    <row r="15" spans="1:17" ht="22.05" customHeight="1" x14ac:dyDescent="0.3">
      <c r="B15" s="26"/>
      <c r="C15" s="22"/>
      <c r="D15" s="22"/>
      <c r="E15" s="22"/>
      <c r="F15" s="22"/>
      <c r="G15" s="22"/>
      <c r="H15" s="22"/>
      <c r="I15" s="27"/>
    </row>
    <row r="16" spans="1:17" ht="22.05" customHeight="1" x14ac:dyDescent="0.3">
      <c r="B16" s="26"/>
      <c r="C16" s="22"/>
      <c r="D16" s="22"/>
      <c r="E16" s="22"/>
      <c r="F16" s="22"/>
      <c r="G16" s="22"/>
      <c r="H16" s="22"/>
      <c r="I16" s="27"/>
    </row>
    <row r="17" spans="2:9" ht="22.05" customHeight="1" x14ac:dyDescent="0.3">
      <c r="B17" s="26"/>
      <c r="C17" s="22"/>
      <c r="D17" s="22"/>
      <c r="E17" s="22"/>
      <c r="F17" s="22"/>
      <c r="G17" s="22"/>
      <c r="H17" s="22"/>
      <c r="I17" s="27"/>
    </row>
    <row r="18" spans="2:9" ht="22.05" customHeight="1" x14ac:dyDescent="0.3">
      <c r="B18" s="28"/>
      <c r="C18" s="29"/>
      <c r="D18" s="29"/>
      <c r="E18" s="29"/>
      <c r="F18" s="29"/>
      <c r="G18" s="29"/>
      <c r="H18" s="29"/>
      <c r="I18" s="30"/>
    </row>
    <row r="20" spans="2:9" x14ac:dyDescent="0.3">
      <c r="B20" s="31" t="s">
        <v>42</v>
      </c>
      <c r="C20" s="32"/>
      <c r="D20" s="32"/>
      <c r="E20" s="32"/>
      <c r="F20" s="32"/>
      <c r="G20" s="32"/>
      <c r="H20" s="32"/>
      <c r="I20" s="33"/>
    </row>
    <row r="21" spans="2:9" ht="22.05" customHeight="1" x14ac:dyDescent="0.3">
      <c r="B21" s="23" t="s">
        <v>177</v>
      </c>
      <c r="C21" s="24"/>
      <c r="D21" s="24"/>
      <c r="E21" s="24"/>
      <c r="F21" s="24"/>
      <c r="G21" s="24"/>
      <c r="H21" s="24"/>
      <c r="I21" s="25"/>
    </row>
    <row r="22" spans="2:9" ht="22.05" customHeight="1" x14ac:dyDescent="0.3">
      <c r="B22" s="26"/>
      <c r="C22" s="22"/>
      <c r="D22" s="22"/>
      <c r="E22" s="22"/>
      <c r="F22" s="22"/>
      <c r="G22" s="22"/>
      <c r="H22" s="22"/>
      <c r="I22" s="27"/>
    </row>
    <row r="23" spans="2:9" ht="22.05" customHeight="1" x14ac:dyDescent="0.3">
      <c r="B23" s="26"/>
      <c r="C23" s="22"/>
      <c r="D23" s="22"/>
      <c r="E23" s="22"/>
      <c r="F23" s="22"/>
      <c r="G23" s="22"/>
      <c r="H23" s="22"/>
      <c r="I23" s="27"/>
    </row>
    <row r="24" spans="2:9" ht="22.05" customHeight="1" x14ac:dyDescent="0.3">
      <c r="B24" s="26"/>
      <c r="C24" s="22"/>
      <c r="D24" s="22"/>
      <c r="E24" s="22"/>
      <c r="F24" s="22"/>
      <c r="G24" s="22"/>
      <c r="H24" s="22"/>
      <c r="I24" s="27"/>
    </row>
    <row r="25" spans="2:9" ht="22.05" customHeight="1" x14ac:dyDescent="0.3">
      <c r="B25" s="26"/>
      <c r="C25" s="22"/>
      <c r="D25" s="22"/>
      <c r="E25" s="22"/>
      <c r="F25" s="22"/>
      <c r="G25" s="22"/>
      <c r="H25" s="22"/>
      <c r="I25" s="27"/>
    </row>
    <row r="26" spans="2:9" ht="22.05" customHeight="1" x14ac:dyDescent="0.3">
      <c r="B26" s="26"/>
      <c r="C26" s="22"/>
      <c r="D26" s="22"/>
      <c r="E26" s="22"/>
      <c r="F26" s="22"/>
      <c r="G26" s="22"/>
      <c r="H26" s="22"/>
      <c r="I26" s="27"/>
    </row>
    <row r="27" spans="2:9" ht="22.05" customHeight="1" x14ac:dyDescent="0.3">
      <c r="B27" s="28"/>
      <c r="C27" s="29"/>
      <c r="D27" s="29"/>
      <c r="E27" s="29"/>
      <c r="F27" s="29"/>
      <c r="G27" s="29"/>
      <c r="H27" s="29"/>
      <c r="I27" s="30"/>
    </row>
    <row r="29" spans="2:9" x14ac:dyDescent="0.3">
      <c r="B29" s="31" t="s">
        <v>43</v>
      </c>
      <c r="C29" s="32"/>
      <c r="D29" s="32"/>
      <c r="E29" s="32"/>
      <c r="F29" s="32"/>
      <c r="G29" s="32"/>
      <c r="H29" s="32"/>
      <c r="I29" s="33"/>
    </row>
    <row r="30" spans="2:9" ht="22.05" customHeight="1" x14ac:dyDescent="0.3">
      <c r="B30" s="23" t="s">
        <v>178</v>
      </c>
      <c r="C30" s="24"/>
      <c r="D30" s="24"/>
      <c r="E30" s="24"/>
      <c r="F30" s="24"/>
      <c r="G30" s="24"/>
      <c r="H30" s="24"/>
      <c r="I30" s="25"/>
    </row>
    <row r="31" spans="2:9" ht="22.05" customHeight="1" x14ac:dyDescent="0.3">
      <c r="B31" s="26"/>
      <c r="C31" s="22"/>
      <c r="D31" s="22"/>
      <c r="E31" s="22"/>
      <c r="F31" s="22"/>
      <c r="G31" s="22"/>
      <c r="H31" s="22"/>
      <c r="I31" s="27"/>
    </row>
    <row r="32" spans="2:9" ht="22.05" customHeight="1" x14ac:dyDescent="0.3">
      <c r="B32" s="26"/>
      <c r="C32" s="22"/>
      <c r="D32" s="22"/>
      <c r="E32" s="22"/>
      <c r="F32" s="22"/>
      <c r="G32" s="22"/>
      <c r="H32" s="22"/>
      <c r="I32" s="27"/>
    </row>
    <row r="33" spans="2:9" ht="22.05" customHeight="1" x14ac:dyDescent="0.3">
      <c r="B33" s="26"/>
      <c r="C33" s="22"/>
      <c r="D33" s="22"/>
      <c r="E33" s="22"/>
      <c r="F33" s="22"/>
      <c r="G33" s="22"/>
      <c r="H33" s="22"/>
      <c r="I33" s="27"/>
    </row>
    <row r="34" spans="2:9" ht="22.05" customHeight="1" x14ac:dyDescent="0.3">
      <c r="B34" s="28"/>
      <c r="C34" s="29"/>
      <c r="D34" s="29"/>
      <c r="E34" s="29"/>
      <c r="F34" s="29"/>
      <c r="G34" s="29"/>
      <c r="H34" s="29"/>
      <c r="I34" s="30"/>
    </row>
    <row r="37" spans="2:9" x14ac:dyDescent="0.3">
      <c r="B37" s="31" t="s">
        <v>44</v>
      </c>
      <c r="C37" s="32"/>
      <c r="D37" s="32"/>
      <c r="E37" s="32"/>
      <c r="F37" s="32"/>
      <c r="G37" s="32"/>
      <c r="H37" s="32"/>
      <c r="I37" s="33"/>
    </row>
    <row r="38" spans="2:9" ht="22.05" customHeight="1" x14ac:dyDescent="0.3">
      <c r="B38" s="23" t="s">
        <v>179</v>
      </c>
      <c r="C38" s="24"/>
      <c r="D38" s="24"/>
      <c r="E38" s="24"/>
      <c r="F38" s="24"/>
      <c r="G38" s="24"/>
      <c r="H38" s="24"/>
      <c r="I38" s="25"/>
    </row>
    <row r="39" spans="2:9" ht="22.05" customHeight="1" x14ac:dyDescent="0.3">
      <c r="B39" s="26"/>
      <c r="C39" s="22"/>
      <c r="D39" s="22"/>
      <c r="E39" s="22"/>
      <c r="F39" s="22"/>
      <c r="G39" s="22"/>
      <c r="H39" s="22"/>
      <c r="I39" s="27"/>
    </row>
    <row r="40" spans="2:9" ht="22.05" customHeight="1" x14ac:dyDescent="0.3">
      <c r="B40" s="26"/>
      <c r="C40" s="22"/>
      <c r="D40" s="22"/>
      <c r="E40" s="22"/>
      <c r="F40" s="22"/>
      <c r="G40" s="22"/>
      <c r="H40" s="22"/>
      <c r="I40" s="27"/>
    </row>
    <row r="41" spans="2:9" ht="22.05" customHeight="1" x14ac:dyDescent="0.3">
      <c r="B41" s="28"/>
      <c r="C41" s="29"/>
      <c r="D41" s="29"/>
      <c r="E41" s="29"/>
      <c r="F41" s="29"/>
      <c r="G41" s="29"/>
      <c r="H41" s="29"/>
      <c r="I41" s="30"/>
    </row>
    <row r="43" spans="2:9" x14ac:dyDescent="0.3">
      <c r="F43" s="41"/>
    </row>
  </sheetData>
  <mergeCells count="14">
    <mergeCell ref="B30:I34"/>
    <mergeCell ref="B38:I41"/>
    <mergeCell ref="B29:I29"/>
    <mergeCell ref="B37:I37"/>
    <mergeCell ref="B2:I2"/>
    <mergeCell ref="B21:I27"/>
    <mergeCell ref="C7:E7"/>
    <mergeCell ref="B20:I20"/>
    <mergeCell ref="B1:I1"/>
    <mergeCell ref="B14:I18"/>
    <mergeCell ref="B13:I13"/>
    <mergeCell ref="C8:D8"/>
    <mergeCell ref="C6:E6"/>
    <mergeCell ref="C5:E5"/>
  </mergeCells>
  <dataValidations count="2">
    <dataValidation type="list" allowBlank="1" sqref="C9" xr:uid="{00000000-0002-0000-0100-000002000000}">
      <formula1>"Yes,No"</formula1>
    </dataValidation>
    <dataValidation type="list" allowBlank="1" showInputMessage="1" showErrorMessage="1" sqref="C6" xr:uid="{EE74E893-6BE5-4DB7-8120-7D3650485EA4}">
      <formula1>"Reflected XSS,Stored XSS,DOM-Based XSS"</formula1>
    </dataValidation>
  </dataValidations>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1030" r:id="rId3" name="btnGenerate">
              <controlPr defaultSize="0" print="0" autoFill="0" autoPict="0" macro="[0]!GenerateTemplate">
                <anchor moveWithCells="1" sizeWithCells="1">
                  <from>
                    <xdr:col>0</xdr:col>
                    <xdr:colOff>198120</xdr:colOff>
                    <xdr:row>9</xdr:row>
                    <xdr:rowOff>304800</xdr:rowOff>
                  </from>
                  <to>
                    <xdr:col>3</xdr:col>
                    <xdr:colOff>0</xdr:colOff>
                    <xdr:row>10</xdr:row>
                    <xdr:rowOff>373380</xdr:rowOff>
                  </to>
                </anchor>
              </controlPr>
            </control>
          </mc:Choice>
        </mc:AlternateContent>
        <mc:AlternateContent xmlns:mc="http://schemas.openxmlformats.org/markup-compatibility/2006">
          <mc:Choice Requires="x14">
            <control shapeId="1031" r:id="rId4" name="btnCopy">
              <controlPr defaultSize="0" print="0" autoFill="0" autoPict="0" macro="[0]!CopyToClipboard">
                <anchor moveWithCells="1" sizeWithCells="1">
                  <from>
                    <xdr:col>3</xdr:col>
                    <xdr:colOff>0</xdr:colOff>
                    <xdr:row>9</xdr:row>
                    <xdr:rowOff>304800</xdr:rowOff>
                  </from>
                  <to>
                    <xdr:col>4</xdr:col>
                    <xdr:colOff>3337560</xdr:colOff>
                    <xdr:row>10</xdr:row>
                    <xdr:rowOff>373380</xdr:rowOff>
                  </to>
                </anchor>
              </controlPr>
            </control>
          </mc:Choice>
        </mc:AlternateContent>
        <mc:AlternateContent xmlns:mc="http://schemas.openxmlformats.org/markup-compatibility/2006">
          <mc:Choice Requires="x14">
            <control shapeId="1032" r:id="rId5" name="btnAddReport">
              <controlPr defaultSize="0" print="0" autoFill="0" autoPict="0" macro="[0]!AddToReport">
                <anchor moveWithCells="1" sizeWithCells="1">
                  <from>
                    <xdr:col>4</xdr:col>
                    <xdr:colOff>3337560</xdr:colOff>
                    <xdr:row>9</xdr:row>
                    <xdr:rowOff>304800</xdr:rowOff>
                  </from>
                  <to>
                    <xdr:col>6</xdr:col>
                    <xdr:colOff>1219200</xdr:colOff>
                    <xdr:row>10</xdr:row>
                    <xdr:rowOff>373380</xdr:rowOff>
                  </to>
                </anchor>
              </controlPr>
            </control>
          </mc:Choice>
        </mc:AlternateContent>
        <mc:AlternateContent xmlns:mc="http://schemas.openxmlformats.org/markup-compatibility/2006">
          <mc:Choice Requires="x14">
            <control shapeId="1033" r:id="rId6" name="btnReset">
              <controlPr defaultSize="0" print="0" autoFill="0" autoPict="0" macro="[0]!ResetGenerator">
                <anchor moveWithCells="1" sizeWithCells="1">
                  <from>
                    <xdr:col>7</xdr:col>
                    <xdr:colOff>0</xdr:colOff>
                    <xdr:row>9</xdr:row>
                    <xdr:rowOff>304800</xdr:rowOff>
                  </from>
                  <to>
                    <xdr:col>9</xdr:col>
                    <xdr:colOff>0</xdr:colOff>
                    <xdr:row>10</xdr:row>
                    <xdr:rowOff>373380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xr:uid="{00000000-0002-0000-0100-000000000000}">
          <x14:formula1>
            <xm:f>Lists!$A$2:$A$100</xm:f>
          </x14:formula1>
          <xm:sqref>C5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3498DB"/>
  </sheetPr>
  <dimension ref="A1:I51"/>
  <sheetViews>
    <sheetView workbookViewId="0">
      <pane ySplit="1" topLeftCell="A2" activePane="bottomLeft" state="frozen"/>
      <selection pane="bottomLeft" activeCell="G4" sqref="G4"/>
    </sheetView>
  </sheetViews>
  <sheetFormatPr defaultRowHeight="14.4" x14ac:dyDescent="0.3"/>
  <cols>
    <col min="1" max="1" width="10" customWidth="1"/>
    <col min="2" max="2" width="22" customWidth="1"/>
    <col min="3" max="3" width="38" customWidth="1"/>
    <col min="4" max="4" width="70" customWidth="1"/>
    <col min="5" max="6" width="60" customWidth="1"/>
    <col min="7" max="7" width="50" customWidth="1"/>
    <col min="8" max="8" width="0" hidden="1" customWidth="1"/>
  </cols>
  <sheetData>
    <row r="1" spans="1:9" ht="30" customHeight="1" x14ac:dyDescent="0.3">
      <c r="A1" s="4" t="s">
        <v>45</v>
      </c>
      <c r="B1" s="4" t="s">
        <v>46</v>
      </c>
      <c r="C1" s="4" t="s">
        <v>47</v>
      </c>
      <c r="D1" s="4" t="s">
        <v>48</v>
      </c>
      <c r="E1" s="4" t="s">
        <v>49</v>
      </c>
      <c r="F1" s="4" t="s">
        <v>50</v>
      </c>
      <c r="G1" s="4" t="s">
        <v>51</v>
      </c>
      <c r="H1" t="s">
        <v>52</v>
      </c>
      <c r="I1" s="4" t="s">
        <v>361</v>
      </c>
    </row>
    <row r="2" spans="1:9" ht="184.8" customHeight="1" x14ac:dyDescent="0.3">
      <c r="A2" s="5" t="s">
        <v>53</v>
      </c>
      <c r="B2" s="5" t="s">
        <v>54</v>
      </c>
      <c r="C2" s="5" t="s">
        <v>55</v>
      </c>
      <c r="D2" s="5" t="s">
        <v>56</v>
      </c>
      <c r="E2" s="5" t="s">
        <v>57</v>
      </c>
      <c r="F2" s="5" t="s">
        <v>58</v>
      </c>
      <c r="G2" s="5" t="s">
        <v>59</v>
      </c>
      <c r="H2" t="s">
        <v>60</v>
      </c>
      <c r="I2" s="6" t="s">
        <v>362</v>
      </c>
    </row>
    <row r="3" spans="1:9" ht="171.6" customHeight="1" x14ac:dyDescent="0.3">
      <c r="A3" s="6" t="s">
        <v>53</v>
      </c>
      <c r="B3" s="6" t="s">
        <v>54</v>
      </c>
      <c r="C3" s="6" t="s">
        <v>61</v>
      </c>
      <c r="D3" s="6" t="s">
        <v>62</v>
      </c>
      <c r="E3" s="6" t="s">
        <v>63</v>
      </c>
      <c r="F3" s="6" t="s">
        <v>64</v>
      </c>
      <c r="G3" s="6" t="s">
        <v>65</v>
      </c>
      <c r="H3" t="s">
        <v>60</v>
      </c>
      <c r="I3" s="5" t="s">
        <v>362</v>
      </c>
    </row>
    <row r="4" spans="1:9" ht="158.4" customHeight="1" x14ac:dyDescent="0.3">
      <c r="A4" s="5" t="s">
        <v>53</v>
      </c>
      <c r="B4" s="5" t="s">
        <v>54</v>
      </c>
      <c r="C4" s="5" t="s">
        <v>66</v>
      </c>
      <c r="D4" s="5" t="s">
        <v>67</v>
      </c>
      <c r="E4" s="5" t="s">
        <v>68</v>
      </c>
      <c r="F4" s="5" t="s">
        <v>69</v>
      </c>
      <c r="G4" s="5" t="s">
        <v>70</v>
      </c>
      <c r="H4" t="s">
        <v>60</v>
      </c>
      <c r="I4" s="6" t="s">
        <v>362</v>
      </c>
    </row>
    <row r="5" spans="1:9" ht="184.8" customHeight="1" x14ac:dyDescent="0.3">
      <c r="A5" s="6" t="s">
        <v>53</v>
      </c>
      <c r="B5" s="6" t="s">
        <v>54</v>
      </c>
      <c r="C5" s="6" t="s">
        <v>71</v>
      </c>
      <c r="D5" s="6" t="s">
        <v>72</v>
      </c>
      <c r="E5" s="6" t="s">
        <v>73</v>
      </c>
      <c r="F5" s="6" t="s">
        <v>74</v>
      </c>
      <c r="G5" s="6" t="s">
        <v>75</v>
      </c>
      <c r="H5" t="s">
        <v>60</v>
      </c>
      <c r="I5" s="5" t="s">
        <v>363</v>
      </c>
    </row>
    <row r="6" spans="1:9" ht="132" customHeight="1" x14ac:dyDescent="0.3">
      <c r="A6" s="5" t="s">
        <v>53</v>
      </c>
      <c r="B6" s="5" t="s">
        <v>54</v>
      </c>
      <c r="C6" s="5" t="s">
        <v>76</v>
      </c>
      <c r="D6" s="5" t="s">
        <v>77</v>
      </c>
      <c r="E6" s="5" t="s">
        <v>78</v>
      </c>
      <c r="F6" s="5" t="s">
        <v>79</v>
      </c>
      <c r="G6" s="5" t="s">
        <v>80</v>
      </c>
      <c r="H6" t="s">
        <v>60</v>
      </c>
      <c r="I6" s="6" t="s">
        <v>364</v>
      </c>
    </row>
    <row r="7" spans="1:9" ht="158.4" customHeight="1" x14ac:dyDescent="0.3">
      <c r="A7" s="6" t="s">
        <v>53</v>
      </c>
      <c r="B7" s="6" t="s">
        <v>54</v>
      </c>
      <c r="C7" s="6" t="s">
        <v>81</v>
      </c>
      <c r="D7" s="6" t="s">
        <v>82</v>
      </c>
      <c r="E7" s="6" t="s">
        <v>83</v>
      </c>
      <c r="F7" s="6" t="s">
        <v>84</v>
      </c>
      <c r="G7" s="6" t="s">
        <v>85</v>
      </c>
      <c r="H7" t="s">
        <v>60</v>
      </c>
      <c r="I7" s="5" t="s">
        <v>365</v>
      </c>
    </row>
    <row r="8" spans="1:9" ht="145.19999999999999" customHeight="1" x14ac:dyDescent="0.3">
      <c r="A8" s="5" t="s">
        <v>53</v>
      </c>
      <c r="B8" s="5" t="s">
        <v>54</v>
      </c>
      <c r="C8" s="5" t="s">
        <v>86</v>
      </c>
      <c r="D8" s="5" t="s">
        <v>87</v>
      </c>
      <c r="E8" s="5" t="s">
        <v>88</v>
      </c>
      <c r="F8" s="5" t="s">
        <v>89</v>
      </c>
      <c r="G8" s="5" t="s">
        <v>90</v>
      </c>
      <c r="H8" t="s">
        <v>60</v>
      </c>
      <c r="I8" s="6" t="s">
        <v>366</v>
      </c>
    </row>
    <row r="9" spans="1:9" ht="145.19999999999999" customHeight="1" x14ac:dyDescent="0.3">
      <c r="A9" s="6" t="s">
        <v>53</v>
      </c>
      <c r="B9" s="6" t="s">
        <v>54</v>
      </c>
      <c r="C9" s="6" t="s">
        <v>91</v>
      </c>
      <c r="D9" s="6" t="s">
        <v>92</v>
      </c>
      <c r="E9" s="6" t="s">
        <v>93</v>
      </c>
      <c r="F9" s="6" t="s">
        <v>94</v>
      </c>
      <c r="G9" s="6" t="s">
        <v>95</v>
      </c>
      <c r="H9" t="s">
        <v>60</v>
      </c>
      <c r="I9" s="5" t="s">
        <v>367</v>
      </c>
    </row>
    <row r="10" spans="1:9" ht="145.19999999999999" customHeight="1" x14ac:dyDescent="0.3">
      <c r="A10" s="5" t="s">
        <v>53</v>
      </c>
      <c r="B10" s="5" t="s">
        <v>54</v>
      </c>
      <c r="C10" s="5" t="s">
        <v>96</v>
      </c>
      <c r="D10" s="5" t="s">
        <v>97</v>
      </c>
      <c r="E10" s="5" t="s">
        <v>98</v>
      </c>
      <c r="F10" s="5" t="s">
        <v>99</v>
      </c>
      <c r="G10" s="5" t="s">
        <v>100</v>
      </c>
      <c r="H10" t="s">
        <v>60</v>
      </c>
      <c r="I10" s="6" t="s">
        <v>368</v>
      </c>
    </row>
    <row r="11" spans="1:9" ht="158.4" customHeight="1" x14ac:dyDescent="0.3">
      <c r="A11" s="6" t="s">
        <v>53</v>
      </c>
      <c r="B11" s="6" t="s">
        <v>54</v>
      </c>
      <c r="C11" s="6" t="s">
        <v>101</v>
      </c>
      <c r="D11" s="6" t="s">
        <v>102</v>
      </c>
      <c r="E11" s="6" t="s">
        <v>103</v>
      </c>
      <c r="F11" s="6" t="s">
        <v>104</v>
      </c>
      <c r="G11" s="6" t="s">
        <v>105</v>
      </c>
      <c r="H11" t="s">
        <v>60</v>
      </c>
      <c r="I11" s="5" t="s">
        <v>369</v>
      </c>
    </row>
    <row r="12" spans="1:9" ht="145.19999999999999" customHeight="1" x14ac:dyDescent="0.3">
      <c r="A12" s="5" t="s">
        <v>106</v>
      </c>
      <c r="B12" s="5" t="s">
        <v>107</v>
      </c>
      <c r="C12" s="5" t="s">
        <v>108</v>
      </c>
      <c r="D12" s="5" t="s">
        <v>109</v>
      </c>
      <c r="E12" s="5" t="s">
        <v>110</v>
      </c>
      <c r="F12" s="5" t="s">
        <v>111</v>
      </c>
      <c r="G12" s="5" t="s">
        <v>112</v>
      </c>
      <c r="H12" t="s">
        <v>113</v>
      </c>
      <c r="I12" s="6" t="s">
        <v>370</v>
      </c>
    </row>
    <row r="13" spans="1:9" ht="132" customHeight="1" x14ac:dyDescent="0.3">
      <c r="A13" s="6" t="s">
        <v>106</v>
      </c>
      <c r="B13" s="6" t="s">
        <v>107</v>
      </c>
      <c r="C13" s="6" t="s">
        <v>114</v>
      </c>
      <c r="D13" s="6" t="s">
        <v>115</v>
      </c>
      <c r="E13" s="6" t="s">
        <v>116</v>
      </c>
      <c r="F13" s="6" t="s">
        <v>117</v>
      </c>
      <c r="G13" s="6" t="s">
        <v>118</v>
      </c>
      <c r="H13" t="s">
        <v>113</v>
      </c>
      <c r="I13" s="5" t="s">
        <v>371</v>
      </c>
    </row>
    <row r="14" spans="1:9" ht="118.8" customHeight="1" x14ac:dyDescent="0.3">
      <c r="A14" s="5" t="s">
        <v>106</v>
      </c>
      <c r="B14" s="5" t="s">
        <v>107</v>
      </c>
      <c r="C14" s="5" t="s">
        <v>119</v>
      </c>
      <c r="D14" s="5" t="s">
        <v>120</v>
      </c>
      <c r="E14" s="5" t="s">
        <v>121</v>
      </c>
      <c r="F14" s="5" t="s">
        <v>122</v>
      </c>
      <c r="G14" s="5" t="s">
        <v>123</v>
      </c>
      <c r="H14" t="s">
        <v>113</v>
      </c>
      <c r="I14" s="6" t="s">
        <v>370</v>
      </c>
    </row>
    <row r="15" spans="1:9" ht="118.8" customHeight="1" x14ac:dyDescent="0.3">
      <c r="A15" s="6" t="s">
        <v>106</v>
      </c>
      <c r="B15" s="6" t="s">
        <v>107</v>
      </c>
      <c r="C15" s="6" t="s">
        <v>124</v>
      </c>
      <c r="D15" s="6" t="s">
        <v>125</v>
      </c>
      <c r="E15" s="6" t="s">
        <v>126</v>
      </c>
      <c r="F15" s="6" t="s">
        <v>127</v>
      </c>
      <c r="G15" s="6" t="s">
        <v>128</v>
      </c>
      <c r="H15" t="s">
        <v>113</v>
      </c>
      <c r="I15" s="5" t="s">
        <v>372</v>
      </c>
    </row>
    <row r="16" spans="1:9" ht="118.8" customHeight="1" x14ac:dyDescent="0.3">
      <c r="A16" s="5" t="s">
        <v>106</v>
      </c>
      <c r="B16" s="5" t="s">
        <v>107</v>
      </c>
      <c r="C16" s="5" t="s">
        <v>129</v>
      </c>
      <c r="D16" s="5" t="s">
        <v>130</v>
      </c>
      <c r="E16" s="5" t="s">
        <v>131</v>
      </c>
      <c r="F16" s="5" t="s">
        <v>132</v>
      </c>
      <c r="G16" s="5" t="s">
        <v>133</v>
      </c>
      <c r="H16" t="s">
        <v>113</v>
      </c>
      <c r="I16" s="6" t="s">
        <v>370</v>
      </c>
    </row>
    <row r="17" spans="1:9" ht="132" customHeight="1" x14ac:dyDescent="0.3">
      <c r="A17" s="6" t="s">
        <v>134</v>
      </c>
      <c r="B17" s="6" t="s">
        <v>135</v>
      </c>
      <c r="C17" s="6" t="s">
        <v>136</v>
      </c>
      <c r="D17" s="6" t="s">
        <v>137</v>
      </c>
      <c r="E17" s="6" t="s">
        <v>138</v>
      </c>
      <c r="F17" s="6" t="s">
        <v>139</v>
      </c>
      <c r="G17" s="6" t="s">
        <v>140</v>
      </c>
      <c r="H17" t="s">
        <v>141</v>
      </c>
      <c r="I17" s="5" t="s">
        <v>373</v>
      </c>
    </row>
    <row r="18" spans="1:9" ht="158.4" customHeight="1" x14ac:dyDescent="0.3">
      <c r="A18" s="5" t="s">
        <v>134</v>
      </c>
      <c r="B18" s="5" t="s">
        <v>135</v>
      </c>
      <c r="C18" s="5" t="s">
        <v>142</v>
      </c>
      <c r="D18" s="5" t="s">
        <v>143</v>
      </c>
      <c r="E18" s="5" t="s">
        <v>144</v>
      </c>
      <c r="F18" s="5" t="s">
        <v>145</v>
      </c>
      <c r="G18" s="5" t="s">
        <v>146</v>
      </c>
      <c r="H18" t="s">
        <v>141</v>
      </c>
      <c r="I18" s="6" t="s">
        <v>374</v>
      </c>
    </row>
    <row r="19" spans="1:9" ht="132" customHeight="1" x14ac:dyDescent="0.3">
      <c r="A19" s="6" t="s">
        <v>134</v>
      </c>
      <c r="B19" s="6" t="s">
        <v>135</v>
      </c>
      <c r="C19" s="6" t="s">
        <v>147</v>
      </c>
      <c r="D19" s="6" t="s">
        <v>148</v>
      </c>
      <c r="E19" s="6" t="s">
        <v>149</v>
      </c>
      <c r="F19" s="6" t="s">
        <v>150</v>
      </c>
      <c r="G19" s="6" t="s">
        <v>151</v>
      </c>
      <c r="H19" t="s">
        <v>141</v>
      </c>
      <c r="I19" s="5" t="s">
        <v>375</v>
      </c>
    </row>
    <row r="20" spans="1:9" ht="158.4" customHeight="1" x14ac:dyDescent="0.3">
      <c r="A20" s="5" t="s">
        <v>134</v>
      </c>
      <c r="B20" s="5" t="s">
        <v>135</v>
      </c>
      <c r="C20" s="5" t="s">
        <v>152</v>
      </c>
      <c r="D20" s="5" t="s">
        <v>153</v>
      </c>
      <c r="E20" s="5" t="s">
        <v>154</v>
      </c>
      <c r="F20" s="5" t="s">
        <v>155</v>
      </c>
      <c r="G20" s="5" t="s">
        <v>156</v>
      </c>
      <c r="H20" t="s">
        <v>141</v>
      </c>
      <c r="I20" s="6" t="s">
        <v>376</v>
      </c>
    </row>
    <row r="21" spans="1:9" ht="158.4" customHeight="1" x14ac:dyDescent="0.3">
      <c r="A21" s="6" t="s">
        <v>134</v>
      </c>
      <c r="B21" s="6" t="s">
        <v>135</v>
      </c>
      <c r="C21" s="6" t="s">
        <v>157</v>
      </c>
      <c r="D21" s="6" t="s">
        <v>158</v>
      </c>
      <c r="E21" s="6" t="s">
        <v>159</v>
      </c>
      <c r="F21" s="6" t="s">
        <v>160</v>
      </c>
      <c r="G21" s="6" t="s">
        <v>161</v>
      </c>
      <c r="H21" t="s">
        <v>141</v>
      </c>
      <c r="I21" s="5" t="s">
        <v>377</v>
      </c>
    </row>
    <row r="22" spans="1:9" ht="171.6" customHeight="1" x14ac:dyDescent="0.3">
      <c r="A22" s="5" t="s">
        <v>162</v>
      </c>
      <c r="B22" s="5" t="s">
        <v>163</v>
      </c>
      <c r="C22" s="5" t="s">
        <v>164</v>
      </c>
      <c r="D22" s="5" t="s">
        <v>165</v>
      </c>
      <c r="E22" s="5" t="s">
        <v>166</v>
      </c>
      <c r="F22" s="5" t="s">
        <v>167</v>
      </c>
      <c r="G22" s="5" t="s">
        <v>168</v>
      </c>
      <c r="H22" t="s">
        <v>169</v>
      </c>
      <c r="I22" s="6" t="s">
        <v>369</v>
      </c>
    </row>
    <row r="23" spans="1:9" ht="171.6" customHeight="1" x14ac:dyDescent="0.3">
      <c r="A23" s="6" t="s">
        <v>162</v>
      </c>
      <c r="B23" s="6" t="s">
        <v>163</v>
      </c>
      <c r="C23" s="6" t="s">
        <v>170</v>
      </c>
      <c r="D23" s="6" t="s">
        <v>171</v>
      </c>
      <c r="E23" s="6" t="s">
        <v>172</v>
      </c>
      <c r="F23" s="6" t="s">
        <v>173</v>
      </c>
      <c r="G23" s="6" t="s">
        <v>174</v>
      </c>
      <c r="H23" t="s">
        <v>169</v>
      </c>
      <c r="I23" s="5" t="s">
        <v>369</v>
      </c>
    </row>
    <row r="24" spans="1:9" ht="158.4" customHeight="1" x14ac:dyDescent="0.3">
      <c r="A24" s="5" t="s">
        <v>162</v>
      </c>
      <c r="B24" s="5" t="s">
        <v>163</v>
      </c>
      <c r="C24" s="5" t="s">
        <v>175</v>
      </c>
      <c r="D24" s="5" t="s">
        <v>176</v>
      </c>
      <c r="E24" s="5" t="s">
        <v>177</v>
      </c>
      <c r="F24" s="5" t="s">
        <v>178</v>
      </c>
      <c r="G24" s="5" t="s">
        <v>179</v>
      </c>
      <c r="H24" t="s">
        <v>169</v>
      </c>
      <c r="I24" s="6" t="s">
        <v>369</v>
      </c>
    </row>
    <row r="25" spans="1:9" ht="158.4" customHeight="1" x14ac:dyDescent="0.3">
      <c r="A25" s="6" t="s">
        <v>180</v>
      </c>
      <c r="B25" s="6" t="s">
        <v>181</v>
      </c>
      <c r="C25" s="6" t="s">
        <v>182</v>
      </c>
      <c r="D25" s="6" t="s">
        <v>183</v>
      </c>
      <c r="E25" s="6" t="s">
        <v>184</v>
      </c>
      <c r="F25" s="6" t="s">
        <v>185</v>
      </c>
      <c r="G25" s="6" t="s">
        <v>186</v>
      </c>
      <c r="H25" t="s">
        <v>187</v>
      </c>
      <c r="I25" s="5" t="s">
        <v>378</v>
      </c>
    </row>
    <row r="26" spans="1:9" ht="132" customHeight="1" x14ac:dyDescent="0.3">
      <c r="A26" s="5" t="s">
        <v>180</v>
      </c>
      <c r="B26" s="5" t="s">
        <v>181</v>
      </c>
      <c r="C26" s="5" t="s">
        <v>188</v>
      </c>
      <c r="D26" s="5" t="s">
        <v>189</v>
      </c>
      <c r="E26" s="5" t="s">
        <v>190</v>
      </c>
      <c r="F26" s="5" t="s">
        <v>191</v>
      </c>
      <c r="G26" s="5" t="s">
        <v>192</v>
      </c>
      <c r="H26" t="s">
        <v>187</v>
      </c>
      <c r="I26" s="6" t="s">
        <v>379</v>
      </c>
    </row>
    <row r="27" spans="1:9" ht="145.19999999999999" customHeight="1" x14ac:dyDescent="0.3">
      <c r="A27" s="6" t="s">
        <v>193</v>
      </c>
      <c r="B27" s="6" t="s">
        <v>194</v>
      </c>
      <c r="C27" s="6" t="s">
        <v>195</v>
      </c>
      <c r="D27" s="6" t="s">
        <v>196</v>
      </c>
      <c r="E27" s="6" t="s">
        <v>197</v>
      </c>
      <c r="F27" s="6" t="s">
        <v>198</v>
      </c>
      <c r="G27" s="6" t="s">
        <v>199</v>
      </c>
      <c r="H27" t="s">
        <v>200</v>
      </c>
      <c r="I27" s="5" t="s">
        <v>380</v>
      </c>
    </row>
    <row r="28" spans="1:9" ht="145.19999999999999" customHeight="1" x14ac:dyDescent="0.3">
      <c r="A28" s="5" t="s">
        <v>193</v>
      </c>
      <c r="B28" s="5" t="s">
        <v>194</v>
      </c>
      <c r="C28" s="5" t="s">
        <v>201</v>
      </c>
      <c r="D28" s="5" t="s">
        <v>202</v>
      </c>
      <c r="E28" s="5" t="s">
        <v>203</v>
      </c>
      <c r="F28" s="5" t="s">
        <v>204</v>
      </c>
      <c r="G28" s="5" t="s">
        <v>205</v>
      </c>
      <c r="H28" t="s">
        <v>200</v>
      </c>
      <c r="I28" s="6" t="s">
        <v>381</v>
      </c>
    </row>
    <row r="29" spans="1:9" ht="118.8" customHeight="1" x14ac:dyDescent="0.3">
      <c r="A29" s="6" t="s">
        <v>193</v>
      </c>
      <c r="B29" s="6" t="s">
        <v>194</v>
      </c>
      <c r="C29" s="6" t="s">
        <v>206</v>
      </c>
      <c r="D29" s="6" t="s">
        <v>207</v>
      </c>
      <c r="E29" s="6" t="s">
        <v>208</v>
      </c>
      <c r="F29" s="6" t="s">
        <v>209</v>
      </c>
      <c r="G29" s="6" t="s">
        <v>210</v>
      </c>
      <c r="H29" t="s">
        <v>200</v>
      </c>
      <c r="I29" s="5" t="s">
        <v>382</v>
      </c>
    </row>
    <row r="30" spans="1:9" ht="145.19999999999999" customHeight="1" x14ac:dyDescent="0.3">
      <c r="A30" s="5" t="s">
        <v>211</v>
      </c>
      <c r="B30" s="5" t="s">
        <v>212</v>
      </c>
      <c r="C30" s="5" t="s">
        <v>213</v>
      </c>
      <c r="D30" s="5" t="s">
        <v>214</v>
      </c>
      <c r="E30" s="5" t="s">
        <v>215</v>
      </c>
      <c r="F30" s="5" t="s">
        <v>216</v>
      </c>
      <c r="G30" s="5" t="s">
        <v>217</v>
      </c>
      <c r="H30" t="s">
        <v>218</v>
      </c>
      <c r="I30" s="6" t="s">
        <v>383</v>
      </c>
    </row>
    <row r="31" spans="1:9" ht="132" customHeight="1" x14ac:dyDescent="0.3">
      <c r="A31" s="6" t="s">
        <v>211</v>
      </c>
      <c r="B31" s="6" t="s">
        <v>212</v>
      </c>
      <c r="C31" s="6" t="s">
        <v>219</v>
      </c>
      <c r="D31" s="6" t="s">
        <v>220</v>
      </c>
      <c r="E31" s="6" t="s">
        <v>221</v>
      </c>
      <c r="F31" s="6" t="s">
        <v>222</v>
      </c>
      <c r="G31" s="6" t="s">
        <v>223</v>
      </c>
      <c r="H31" t="s">
        <v>218</v>
      </c>
      <c r="I31" s="5" t="s">
        <v>384</v>
      </c>
    </row>
    <row r="32" spans="1:9" ht="132" customHeight="1" x14ac:dyDescent="0.3">
      <c r="A32" s="5" t="s">
        <v>224</v>
      </c>
      <c r="B32" s="5" t="s">
        <v>225</v>
      </c>
      <c r="C32" s="5" t="s">
        <v>226</v>
      </c>
      <c r="D32" s="5" t="s">
        <v>227</v>
      </c>
      <c r="E32" s="5" t="s">
        <v>228</v>
      </c>
      <c r="F32" s="5" t="s">
        <v>229</v>
      </c>
      <c r="G32" s="5" t="s">
        <v>230</v>
      </c>
      <c r="H32" t="s">
        <v>231</v>
      </c>
      <c r="I32" s="6" t="s">
        <v>385</v>
      </c>
    </row>
    <row r="33" spans="1:9" ht="158.4" customHeight="1" x14ac:dyDescent="0.3">
      <c r="A33" s="6" t="s">
        <v>224</v>
      </c>
      <c r="B33" s="6" t="s">
        <v>225</v>
      </c>
      <c r="C33" s="6" t="s">
        <v>232</v>
      </c>
      <c r="D33" s="6" t="s">
        <v>233</v>
      </c>
      <c r="E33" s="6" t="s">
        <v>234</v>
      </c>
      <c r="F33" s="6" t="s">
        <v>235</v>
      </c>
      <c r="G33" s="6" t="s">
        <v>236</v>
      </c>
      <c r="H33" t="s">
        <v>231</v>
      </c>
      <c r="I33" s="5" t="s">
        <v>386</v>
      </c>
    </row>
    <row r="34" spans="1:9" ht="145.19999999999999" customHeight="1" x14ac:dyDescent="0.3">
      <c r="A34" s="5" t="s">
        <v>224</v>
      </c>
      <c r="B34" s="5" t="s">
        <v>225</v>
      </c>
      <c r="C34" s="5" t="s">
        <v>237</v>
      </c>
      <c r="D34" s="5" t="s">
        <v>238</v>
      </c>
      <c r="E34" s="5" t="s">
        <v>239</v>
      </c>
      <c r="F34" s="5" t="s">
        <v>240</v>
      </c>
      <c r="G34" s="5" t="s">
        <v>241</v>
      </c>
      <c r="H34" t="s">
        <v>231</v>
      </c>
      <c r="I34" s="6" t="s">
        <v>387</v>
      </c>
    </row>
    <row r="35" spans="1:9" ht="132" customHeight="1" x14ac:dyDescent="0.3">
      <c r="A35" s="6" t="s">
        <v>242</v>
      </c>
      <c r="B35" s="6" t="s">
        <v>243</v>
      </c>
      <c r="C35" s="6" t="s">
        <v>244</v>
      </c>
      <c r="D35" s="6" t="s">
        <v>245</v>
      </c>
      <c r="E35" s="6" t="s">
        <v>246</v>
      </c>
      <c r="F35" s="6" t="s">
        <v>247</v>
      </c>
      <c r="G35" s="6" t="s">
        <v>248</v>
      </c>
      <c r="H35" t="s">
        <v>249</v>
      </c>
      <c r="I35" s="5" t="s">
        <v>388</v>
      </c>
    </row>
    <row r="36" spans="1:9" ht="118.8" customHeight="1" x14ac:dyDescent="0.3">
      <c r="A36" s="5" t="s">
        <v>242</v>
      </c>
      <c r="B36" s="5" t="s">
        <v>243</v>
      </c>
      <c r="C36" s="5" t="s">
        <v>250</v>
      </c>
      <c r="D36" s="5" t="s">
        <v>251</v>
      </c>
      <c r="E36" s="5" t="s">
        <v>252</v>
      </c>
      <c r="F36" s="5" t="s">
        <v>253</v>
      </c>
      <c r="G36" s="5" t="s">
        <v>254</v>
      </c>
      <c r="H36" t="s">
        <v>249</v>
      </c>
      <c r="I36" s="6" t="s">
        <v>389</v>
      </c>
    </row>
    <row r="37" spans="1:9" ht="132" customHeight="1" x14ac:dyDescent="0.3">
      <c r="A37" s="6" t="s">
        <v>242</v>
      </c>
      <c r="B37" s="6" t="s">
        <v>243</v>
      </c>
      <c r="C37" s="6" t="s">
        <v>255</v>
      </c>
      <c r="D37" s="6" t="s">
        <v>256</v>
      </c>
      <c r="E37" s="6" t="s">
        <v>257</v>
      </c>
      <c r="F37" s="6" t="s">
        <v>258</v>
      </c>
      <c r="G37" s="6" t="s">
        <v>259</v>
      </c>
      <c r="H37" t="s">
        <v>249</v>
      </c>
      <c r="I37" s="5" t="s">
        <v>390</v>
      </c>
    </row>
    <row r="38" spans="1:9" ht="158.4" customHeight="1" x14ac:dyDescent="0.3">
      <c r="A38" s="5" t="s">
        <v>260</v>
      </c>
      <c r="B38" s="5" t="s">
        <v>261</v>
      </c>
      <c r="C38" s="5" t="s">
        <v>262</v>
      </c>
      <c r="D38" s="5" t="s">
        <v>263</v>
      </c>
      <c r="E38" s="5" t="s">
        <v>264</v>
      </c>
      <c r="F38" s="5" t="s">
        <v>265</v>
      </c>
      <c r="G38" s="5" t="s">
        <v>266</v>
      </c>
      <c r="H38" t="s">
        <v>267</v>
      </c>
      <c r="I38" s="6" t="s">
        <v>391</v>
      </c>
    </row>
    <row r="39" spans="1:9" ht="145.19999999999999" customHeight="1" x14ac:dyDescent="0.3">
      <c r="A39" s="6" t="s">
        <v>268</v>
      </c>
      <c r="B39" s="6" t="s">
        <v>269</v>
      </c>
      <c r="C39" s="6" t="s">
        <v>270</v>
      </c>
      <c r="D39" s="6" t="s">
        <v>271</v>
      </c>
      <c r="E39" s="6" t="s">
        <v>272</v>
      </c>
      <c r="F39" s="6" t="s">
        <v>273</v>
      </c>
      <c r="G39" s="6" t="s">
        <v>274</v>
      </c>
      <c r="H39" t="s">
        <v>275</v>
      </c>
      <c r="I39" s="5" t="s">
        <v>392</v>
      </c>
    </row>
    <row r="40" spans="1:9" ht="158.4" customHeight="1" x14ac:dyDescent="0.3">
      <c r="A40" s="5" t="s">
        <v>276</v>
      </c>
      <c r="B40" s="5" t="s">
        <v>277</v>
      </c>
      <c r="C40" s="5" t="s">
        <v>278</v>
      </c>
      <c r="D40" s="5" t="s">
        <v>279</v>
      </c>
      <c r="E40" s="5" t="s">
        <v>280</v>
      </c>
      <c r="F40" s="5" t="s">
        <v>281</v>
      </c>
      <c r="G40" s="5" t="s">
        <v>282</v>
      </c>
      <c r="H40" t="s">
        <v>283</v>
      </c>
      <c r="I40" s="6" t="s">
        <v>393</v>
      </c>
    </row>
    <row r="41" spans="1:9" ht="145.19999999999999" customHeight="1" x14ac:dyDescent="0.3">
      <c r="A41" s="6" t="s">
        <v>284</v>
      </c>
      <c r="B41" s="6" t="s">
        <v>285</v>
      </c>
      <c r="C41" s="6" t="s">
        <v>286</v>
      </c>
      <c r="D41" s="6" t="s">
        <v>287</v>
      </c>
      <c r="E41" s="6" t="s">
        <v>288</v>
      </c>
      <c r="F41" s="6" t="s">
        <v>289</v>
      </c>
      <c r="G41" s="6" t="s">
        <v>290</v>
      </c>
      <c r="H41" t="s">
        <v>291</v>
      </c>
      <c r="I41" s="5" t="s">
        <v>394</v>
      </c>
    </row>
    <row r="42" spans="1:9" ht="118.8" customHeight="1" x14ac:dyDescent="0.3">
      <c r="A42" s="5" t="s">
        <v>284</v>
      </c>
      <c r="B42" s="5" t="s">
        <v>285</v>
      </c>
      <c r="C42" s="17" t="s">
        <v>232</v>
      </c>
      <c r="D42" s="5" t="s">
        <v>292</v>
      </c>
      <c r="E42" s="5" t="s">
        <v>293</v>
      </c>
      <c r="F42" s="5" t="s">
        <v>294</v>
      </c>
      <c r="G42" s="5" t="s">
        <v>295</v>
      </c>
      <c r="H42" t="s">
        <v>291</v>
      </c>
      <c r="I42" s="6" t="s">
        <v>386</v>
      </c>
    </row>
    <row r="43" spans="1:9" ht="158.4" customHeight="1" x14ac:dyDescent="0.3">
      <c r="A43" s="6" t="s">
        <v>296</v>
      </c>
      <c r="B43" s="6" t="s">
        <v>297</v>
      </c>
      <c r="C43" s="6" t="s">
        <v>298</v>
      </c>
      <c r="D43" s="6" t="s">
        <v>299</v>
      </c>
      <c r="E43" s="6" t="s">
        <v>300</v>
      </c>
      <c r="F43" s="6" t="s">
        <v>301</v>
      </c>
      <c r="G43" s="6" t="s">
        <v>302</v>
      </c>
      <c r="H43" t="s">
        <v>303</v>
      </c>
      <c r="I43" s="5" t="s">
        <v>395</v>
      </c>
    </row>
    <row r="44" spans="1:9" ht="145.19999999999999" customHeight="1" x14ac:dyDescent="0.3">
      <c r="A44" s="5" t="s">
        <v>304</v>
      </c>
      <c r="B44" s="5" t="s">
        <v>305</v>
      </c>
      <c r="C44" s="5" t="s">
        <v>306</v>
      </c>
      <c r="D44" s="5" t="s">
        <v>307</v>
      </c>
      <c r="E44" s="5" t="s">
        <v>308</v>
      </c>
      <c r="F44" s="5" t="s">
        <v>309</v>
      </c>
      <c r="G44" s="5" t="s">
        <v>310</v>
      </c>
      <c r="H44" t="s">
        <v>311</v>
      </c>
      <c r="I44" s="6" t="s">
        <v>396</v>
      </c>
    </row>
    <row r="45" spans="1:9" ht="158.4" customHeight="1" x14ac:dyDescent="0.3">
      <c r="A45" s="6" t="s">
        <v>312</v>
      </c>
      <c r="B45" s="6" t="s">
        <v>313</v>
      </c>
      <c r="C45" s="6" t="s">
        <v>313</v>
      </c>
      <c r="D45" s="6" t="s">
        <v>314</v>
      </c>
      <c r="E45" s="6" t="s">
        <v>315</v>
      </c>
      <c r="F45" s="6" t="s">
        <v>316</v>
      </c>
      <c r="G45" s="6" t="s">
        <v>317</v>
      </c>
      <c r="H45" t="s">
        <v>318</v>
      </c>
      <c r="I45" s="5" t="s">
        <v>397</v>
      </c>
    </row>
    <row r="46" spans="1:9" ht="184.8" customHeight="1" x14ac:dyDescent="0.3">
      <c r="A46" s="5" t="s">
        <v>319</v>
      </c>
      <c r="B46" s="5" t="s">
        <v>320</v>
      </c>
      <c r="C46" s="5" t="s">
        <v>321</v>
      </c>
      <c r="D46" s="5" t="s">
        <v>322</v>
      </c>
      <c r="E46" s="5" t="s">
        <v>323</v>
      </c>
      <c r="F46" s="5" t="s">
        <v>324</v>
      </c>
      <c r="G46" s="5" t="s">
        <v>325</v>
      </c>
      <c r="H46" t="s">
        <v>326</v>
      </c>
      <c r="I46" s="6" t="s">
        <v>398</v>
      </c>
    </row>
    <row r="47" spans="1:9" ht="184.8" customHeight="1" x14ac:dyDescent="0.3">
      <c r="A47" s="6" t="s">
        <v>327</v>
      </c>
      <c r="B47" s="6" t="s">
        <v>328</v>
      </c>
      <c r="C47" s="6" t="s">
        <v>329</v>
      </c>
      <c r="D47" s="6" t="s">
        <v>330</v>
      </c>
      <c r="E47" s="6" t="s">
        <v>331</v>
      </c>
      <c r="F47" s="6" t="s">
        <v>332</v>
      </c>
      <c r="G47" s="6" t="s">
        <v>333</v>
      </c>
      <c r="H47" t="s">
        <v>334</v>
      </c>
      <c r="I47" s="5" t="s">
        <v>399</v>
      </c>
    </row>
    <row r="48" spans="1:9" ht="171.6" customHeight="1" x14ac:dyDescent="0.3">
      <c r="A48" s="5" t="s">
        <v>327</v>
      </c>
      <c r="B48" s="5" t="s">
        <v>328</v>
      </c>
      <c r="C48" s="5" t="s">
        <v>335</v>
      </c>
      <c r="D48" s="5" t="s">
        <v>336</v>
      </c>
      <c r="E48" s="5" t="s">
        <v>337</v>
      </c>
      <c r="F48" s="5" t="s">
        <v>338</v>
      </c>
      <c r="G48" s="5" t="s">
        <v>339</v>
      </c>
      <c r="H48" t="s">
        <v>334</v>
      </c>
      <c r="I48" s="6" t="s">
        <v>400</v>
      </c>
    </row>
    <row r="49" spans="1:9" ht="145.19999999999999" customHeight="1" x14ac:dyDescent="0.3">
      <c r="A49" s="6" t="s">
        <v>327</v>
      </c>
      <c r="B49" s="6" t="s">
        <v>328</v>
      </c>
      <c r="C49" s="6" t="s">
        <v>340</v>
      </c>
      <c r="D49" s="6" t="s">
        <v>341</v>
      </c>
      <c r="E49" s="6" t="s">
        <v>342</v>
      </c>
      <c r="F49" s="6" t="s">
        <v>343</v>
      </c>
      <c r="G49" s="6" t="s">
        <v>344</v>
      </c>
      <c r="H49" t="s">
        <v>334</v>
      </c>
      <c r="I49" s="5" t="s">
        <v>401</v>
      </c>
    </row>
    <row r="50" spans="1:9" ht="132" customHeight="1" x14ac:dyDescent="0.3">
      <c r="A50" s="5" t="s">
        <v>327</v>
      </c>
      <c r="B50" s="5" t="s">
        <v>328</v>
      </c>
      <c r="C50" s="5" t="s">
        <v>345</v>
      </c>
      <c r="D50" s="5" t="s">
        <v>346</v>
      </c>
      <c r="E50" s="5" t="s">
        <v>347</v>
      </c>
      <c r="F50" s="5" t="s">
        <v>348</v>
      </c>
      <c r="G50" s="5" t="s">
        <v>349</v>
      </c>
      <c r="H50" t="s">
        <v>334</v>
      </c>
      <c r="I50" s="6" t="s">
        <v>402</v>
      </c>
    </row>
    <row r="51" spans="1:9" ht="132" customHeight="1" x14ac:dyDescent="0.3">
      <c r="A51" s="6" t="s">
        <v>327</v>
      </c>
      <c r="B51" s="6" t="s">
        <v>328</v>
      </c>
      <c r="C51" s="6" t="s">
        <v>350</v>
      </c>
      <c r="D51" s="6" t="s">
        <v>351</v>
      </c>
      <c r="E51" s="6" t="s">
        <v>352</v>
      </c>
      <c r="F51" s="6" t="s">
        <v>353</v>
      </c>
      <c r="G51" s="6" t="s">
        <v>354</v>
      </c>
      <c r="H51" t="s">
        <v>334</v>
      </c>
      <c r="I51" s="5" t="s">
        <v>403</v>
      </c>
    </row>
  </sheetData>
  <autoFilter ref="A1:G51" xr:uid="{00000000-0009-0000-0000-000002000000}"/>
  <pageMargins left="0.75" right="0.75" top="1" bottom="1" header="0.5" footer="0.5"/>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27AE60"/>
  </sheetPr>
  <dimension ref="A1:K5"/>
  <sheetViews>
    <sheetView zoomScale="85" zoomScaleNormal="85" workbookViewId="0">
      <pane ySplit="1" topLeftCell="A2" activePane="bottomLeft" state="frozen"/>
      <selection pane="bottomLeft" activeCell="G3" sqref="G3"/>
    </sheetView>
  </sheetViews>
  <sheetFormatPr defaultRowHeight="14.4" x14ac:dyDescent="0.3"/>
  <cols>
    <col min="1" max="1" width="5" customWidth="1"/>
    <col min="2" max="2" width="12" customWidth="1"/>
    <col min="3" max="3" width="40" customWidth="1"/>
    <col min="4" max="4" width="10" customWidth="1"/>
    <col min="5" max="5" width="22" customWidth="1"/>
    <col min="6" max="6" width="35" customWidth="1"/>
    <col min="7" max="7" width="70" customWidth="1"/>
    <col min="8" max="9" width="60" customWidth="1"/>
    <col min="10" max="10" width="50" customWidth="1"/>
    <col min="11" max="11" width="55" customWidth="1"/>
  </cols>
  <sheetData>
    <row r="1" spans="1:11" ht="30" customHeight="1" x14ac:dyDescent="0.3">
      <c r="A1" s="4" t="s">
        <v>355</v>
      </c>
      <c r="B1" s="4" t="s">
        <v>356</v>
      </c>
      <c r="C1" s="4" t="s">
        <v>357</v>
      </c>
      <c r="D1" s="4" t="s">
        <v>45</v>
      </c>
      <c r="E1" s="4" t="s">
        <v>46</v>
      </c>
      <c r="F1" s="4" t="s">
        <v>47</v>
      </c>
      <c r="G1" s="4" t="s">
        <v>48</v>
      </c>
      <c r="H1" s="4" t="s">
        <v>49</v>
      </c>
      <c r="I1" s="4" t="s">
        <v>50</v>
      </c>
      <c r="J1" s="4" t="s">
        <v>358</v>
      </c>
      <c r="K1" s="4" t="s">
        <v>405</v>
      </c>
    </row>
    <row r="2" spans="1:11" ht="158.4" x14ac:dyDescent="0.3">
      <c r="A2" s="15">
        <v>1</v>
      </c>
      <c r="B2" s="42">
        <v>7.6</v>
      </c>
      <c r="C2" s="15" t="s">
        <v>423</v>
      </c>
      <c r="D2" s="15" t="s">
        <v>106</v>
      </c>
      <c r="E2" s="15" t="s">
        <v>107</v>
      </c>
      <c r="F2" s="15" t="s">
        <v>114</v>
      </c>
      <c r="G2" s="15" t="s">
        <v>424</v>
      </c>
      <c r="H2" s="15" t="s">
        <v>116</v>
      </c>
      <c r="I2" s="15" t="s">
        <v>117</v>
      </c>
      <c r="J2" s="15" t="s">
        <v>118</v>
      </c>
      <c r="K2" s="19" t="s">
        <v>425</v>
      </c>
    </row>
    <row r="3" spans="1:11" ht="145.19999999999999" x14ac:dyDescent="0.3">
      <c r="A3" s="39">
        <v>2</v>
      </c>
      <c r="B3" s="47">
        <v>7.2</v>
      </c>
      <c r="C3" s="39" t="s">
        <v>360</v>
      </c>
      <c r="D3" s="39" t="s">
        <v>106</v>
      </c>
      <c r="E3" s="39" t="s">
        <v>107</v>
      </c>
      <c r="F3" s="39" t="s">
        <v>119</v>
      </c>
      <c r="G3" s="39" t="s">
        <v>421</v>
      </c>
      <c r="H3" s="39" t="s">
        <v>121</v>
      </c>
      <c r="I3" s="39" t="s">
        <v>122</v>
      </c>
      <c r="J3" s="39" t="s">
        <v>123</v>
      </c>
      <c r="K3" s="40" t="s">
        <v>422</v>
      </c>
    </row>
    <row r="4" spans="1:11" ht="184.8" x14ac:dyDescent="0.3">
      <c r="A4" s="39">
        <v>3</v>
      </c>
      <c r="B4" s="43">
        <v>6.6</v>
      </c>
      <c r="C4" s="39" t="s">
        <v>423</v>
      </c>
      <c r="D4" s="39" t="s">
        <v>162</v>
      </c>
      <c r="E4" s="39" t="s">
        <v>163</v>
      </c>
      <c r="F4" s="39" t="s">
        <v>175</v>
      </c>
      <c r="G4" s="39" t="s">
        <v>426</v>
      </c>
      <c r="H4" s="39" t="s">
        <v>177</v>
      </c>
      <c r="I4" s="39" t="s">
        <v>178</v>
      </c>
      <c r="J4" s="39" t="s">
        <v>179</v>
      </c>
      <c r="K4" s="40" t="s">
        <v>427</v>
      </c>
    </row>
    <row r="5" spans="1:11" ht="158.4" x14ac:dyDescent="0.3">
      <c r="A5" s="15">
        <v>4</v>
      </c>
      <c r="B5" s="16">
        <v>5.2</v>
      </c>
      <c r="C5" s="15" t="s">
        <v>360</v>
      </c>
      <c r="D5" s="15" t="s">
        <v>53</v>
      </c>
      <c r="E5" s="15" t="s">
        <v>54</v>
      </c>
      <c r="F5" s="15" t="s">
        <v>76</v>
      </c>
      <c r="G5" s="15" t="s">
        <v>419</v>
      </c>
      <c r="H5" s="15" t="s">
        <v>78</v>
      </c>
      <c r="I5" s="15" t="s">
        <v>79</v>
      </c>
      <c r="J5" s="15" t="s">
        <v>80</v>
      </c>
      <c r="K5" s="19" t="s">
        <v>420</v>
      </c>
    </row>
  </sheetData>
  <autoFilter ref="A1:K1" xr:uid="{00000000-0009-0000-0000-000003000000}"/>
  <sortState xmlns:xlrd2="http://schemas.microsoft.com/office/spreadsheetml/2017/richdata2" ref="A2:K5">
    <sortCondition descending="1" ref="B2:B5"/>
  </sortState>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2050" r:id="rId3" name="btnClearReport">
              <controlPr defaultSize="0" print="0" autoFill="0" autoPict="0" macro="[0]!ClearReport">
                <anchor moveWithCells="1" sizeWithCells="1">
                  <from>
                    <xdr:col>10</xdr:col>
                    <xdr:colOff>129540</xdr:colOff>
                    <xdr:row>0</xdr:row>
                    <xdr:rowOff>0</xdr:rowOff>
                  </from>
                  <to>
                    <xdr:col>10</xdr:col>
                    <xdr:colOff>2034540</xdr:colOff>
                    <xdr:row>0</xdr:row>
                    <xdr:rowOff>312420</xdr:rowOff>
                  </to>
                </anchor>
              </controlPr>
            </control>
          </mc:Choice>
        </mc:AlternateContent>
        <mc:AlternateContent xmlns:mc="http://schemas.openxmlformats.org/markup-compatibility/2006">
          <mc:Choice Requires="x14">
            <control shapeId="2051" r:id="rId4" name="btnExportWord">
              <controlPr defaultSize="0" print="0" autoFill="0" autoPict="0" macro="[0]!ExportToWord">
                <anchor moveWithCells="1" sizeWithCells="1">
                  <from>
                    <xdr:col>10</xdr:col>
                    <xdr:colOff>2164080</xdr:colOff>
                    <xdr:row>0</xdr:row>
                    <xdr:rowOff>0</xdr:rowOff>
                  </from>
                  <to>
                    <xdr:col>11</xdr:col>
                    <xdr:colOff>297180</xdr:colOff>
                    <xdr:row>0</xdr:row>
                    <xdr:rowOff>312420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19"/>
  <sheetViews>
    <sheetView workbookViewId="0">
      <selection activeCell="I14" sqref="I14"/>
    </sheetView>
  </sheetViews>
  <sheetFormatPr defaultRowHeight="14.4" x14ac:dyDescent="0.3"/>
  <sheetData>
    <row r="1" spans="1:1" x14ac:dyDescent="0.3">
      <c r="A1" t="s">
        <v>359</v>
      </c>
    </row>
    <row r="2" spans="1:1" x14ac:dyDescent="0.3">
      <c r="A2" t="s">
        <v>60</v>
      </c>
    </row>
    <row r="3" spans="1:1" x14ac:dyDescent="0.3">
      <c r="A3" t="s">
        <v>113</v>
      </c>
    </row>
    <row r="4" spans="1:1" x14ac:dyDescent="0.3">
      <c r="A4" t="s">
        <v>141</v>
      </c>
    </row>
    <row r="5" spans="1:1" x14ac:dyDescent="0.3">
      <c r="A5" t="s">
        <v>169</v>
      </c>
    </row>
    <row r="6" spans="1:1" x14ac:dyDescent="0.3">
      <c r="A6" t="s">
        <v>187</v>
      </c>
    </row>
    <row r="7" spans="1:1" x14ac:dyDescent="0.3">
      <c r="A7" t="s">
        <v>200</v>
      </c>
    </row>
    <row r="8" spans="1:1" x14ac:dyDescent="0.3">
      <c r="A8" t="s">
        <v>218</v>
      </c>
    </row>
    <row r="9" spans="1:1" x14ac:dyDescent="0.3">
      <c r="A9" t="s">
        <v>231</v>
      </c>
    </row>
    <row r="10" spans="1:1" x14ac:dyDescent="0.3">
      <c r="A10" t="s">
        <v>249</v>
      </c>
    </row>
    <row r="11" spans="1:1" x14ac:dyDescent="0.3">
      <c r="A11" t="s">
        <v>267</v>
      </c>
    </row>
    <row r="12" spans="1:1" x14ac:dyDescent="0.3">
      <c r="A12" t="s">
        <v>275</v>
      </c>
    </row>
    <row r="13" spans="1:1" x14ac:dyDescent="0.3">
      <c r="A13" t="s">
        <v>283</v>
      </c>
    </row>
    <row r="14" spans="1:1" x14ac:dyDescent="0.3">
      <c r="A14" t="s">
        <v>291</v>
      </c>
    </row>
    <row r="15" spans="1:1" x14ac:dyDescent="0.3">
      <c r="A15" t="s">
        <v>303</v>
      </c>
    </row>
    <row r="16" spans="1:1" x14ac:dyDescent="0.3">
      <c r="A16" t="s">
        <v>311</v>
      </c>
    </row>
    <row r="17" spans="1:1" x14ac:dyDescent="0.3">
      <c r="A17" t="s">
        <v>318</v>
      </c>
    </row>
    <row r="18" spans="1:1" x14ac:dyDescent="0.3">
      <c r="A18" t="s">
        <v>326</v>
      </c>
    </row>
    <row r="19" spans="1:1" x14ac:dyDescent="0.3">
      <c r="A19" t="s">
        <v>334</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Setup Instructions</vt:lpstr>
      <vt:lpstr>Template Generator</vt:lpstr>
      <vt:lpstr>Vulnerability Database</vt:lpstr>
      <vt:lpstr>Report Compilation</vt:lpstr>
      <vt:lpstr>Lists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Pratyush .</cp:lastModifiedBy>
  <dcterms:created xsi:type="dcterms:W3CDTF">2026-03-13T18:19:59Z</dcterms:created>
  <dcterms:modified xsi:type="dcterms:W3CDTF">2026-03-14T07:40:56Z</dcterms:modified>
</cp:coreProperties>
</file>